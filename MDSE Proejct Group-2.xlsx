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5505e40796e3e55/Desktop/Github/"/>
    </mc:Choice>
  </mc:AlternateContent>
  <xr:revisionPtr revIDLastSave="0" documentId="13_ncr:1_{CA7E8837-A12F-4EF5-B9EA-3C509E8687AE}" xr6:coauthVersionLast="47" xr6:coauthVersionMax="47" xr10:uidLastSave="{00000000-0000-0000-0000-000000000000}"/>
  <bookViews>
    <workbookView xWindow="-108" yWindow="-108" windowWidth="23256" windowHeight="13896" activeTab="1" xr2:uid="{F1795309-8345-48E9-8919-A46CBEDA744F}"/>
  </bookViews>
  <sheets>
    <sheet name="Project-1" sheetId="1" r:id="rId1"/>
    <sheet name="Project-2" sheetId="2" r:id="rId2"/>
  </sheets>
  <definedNames>
    <definedName name="_xlchart.v1.0" hidden="1">'Project-1'!$B$61:$B$1060</definedName>
    <definedName name="solver_adj" localSheetId="1" hidden="1">'Project-2'!$D$207:$I$210,'Project-2'!$D$216:$I$219,'Project-2'!$K$207:$K$210,'Project-2'!$K$216:$K$219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'Project-2'!$D$207:$I$210</definedName>
    <definedName name="solver_lhs10" localSheetId="1" hidden="1">'Project-2'!$J$38</definedName>
    <definedName name="solver_lhs11" localSheetId="1" hidden="1">'Project-2'!$J$39</definedName>
    <definedName name="solver_lhs12" localSheetId="1" hidden="1">'Project-2'!$J$40</definedName>
    <definedName name="solver_lhs13" localSheetId="1" hidden="1">'Project-2'!$K$29:$K$31</definedName>
    <definedName name="solver_lhs14" localSheetId="1" hidden="1">'Project-2'!$K$38:$K$40</definedName>
    <definedName name="solver_lhs2" localSheetId="1" hidden="1">'Project-2'!$D$211:$I$211</definedName>
    <definedName name="solver_lhs3" localSheetId="1" hidden="1">'Project-2'!$D$216:$I$219</definedName>
    <definedName name="solver_lhs4" localSheetId="1" hidden="1">'Project-2'!$D$220:$I$220</definedName>
    <definedName name="solver_lhs5" localSheetId="1" hidden="1">'Project-2'!$K$207:$K$210</definedName>
    <definedName name="solver_lhs6" localSheetId="1" hidden="1">'Project-2'!$K$216:$K$219</definedName>
    <definedName name="solver_lhs7" localSheetId="1" hidden="1">'Project-2'!$L$207:$L$210</definedName>
    <definedName name="solver_lhs8" localSheetId="1" hidden="1">'Project-2'!$L$216:$L$219</definedName>
    <definedName name="solver_lhs9" localSheetId="1" hidden="1">'Project-2'!$J$37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8</definedName>
    <definedName name="solver_nwt" localSheetId="1" hidden="1">1</definedName>
    <definedName name="solver_opt" localSheetId="1" hidden="1">'Project-2'!$D$228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10" localSheetId="1" hidden="1">1</definedName>
    <definedName name="solver_rel11" localSheetId="1" hidden="1">1</definedName>
    <definedName name="solver_rel12" localSheetId="1" hidden="1">1</definedName>
    <definedName name="solver_rel13" localSheetId="1" hidden="1">5</definedName>
    <definedName name="solver_rel14" localSheetId="1" hidden="1">5</definedName>
    <definedName name="solver_rel2" localSheetId="1" hidden="1">2</definedName>
    <definedName name="solver_rel3" localSheetId="1" hidden="1">4</definedName>
    <definedName name="solver_rel4" localSheetId="1" hidden="1">2</definedName>
    <definedName name="solver_rel5" localSheetId="1" hidden="1">5</definedName>
    <definedName name="solver_rel6" localSheetId="1" hidden="1">5</definedName>
    <definedName name="solver_rel7" localSheetId="1" hidden="1">3</definedName>
    <definedName name="solver_rel8" localSheetId="1" hidden="1">3</definedName>
    <definedName name="solver_rel9" localSheetId="1" hidden="1">1</definedName>
    <definedName name="solver_rhs1" localSheetId="1" hidden="1">0</definedName>
    <definedName name="solver_rhs10" localSheetId="1" hidden="1">'Project-2'!$K$38*'Project-2'!$L$38</definedName>
    <definedName name="solver_rhs11" localSheetId="1" hidden="1">'Project-2'!$K$39*'Project-2'!$L$39</definedName>
    <definedName name="solver_rhs12" localSheetId="1" hidden="1">'Project-2'!$K$40*'Project-2'!$L$40</definedName>
    <definedName name="solver_rhs13" localSheetId="1" hidden="1">"binary"</definedName>
    <definedName name="solver_rhs14" localSheetId="1" hidden="1">"binary"</definedName>
    <definedName name="solver_rhs2" localSheetId="1" hidden="1">'Project-2'!$D$212:$I$212</definedName>
    <definedName name="solver_rhs3" localSheetId="1" hidden="1">"integer"</definedName>
    <definedName name="solver_rhs4" localSheetId="1" hidden="1">'Project-2'!$D$221:$I$221</definedName>
    <definedName name="solver_rhs5" localSheetId="1" hidden="1">"binary"</definedName>
    <definedName name="solver_rhs6" localSheetId="1" hidden="1">"binary"</definedName>
    <definedName name="solver_rhs7" localSheetId="1" hidden="1">0</definedName>
    <definedName name="solver_rhs8" localSheetId="1" hidden="1">0</definedName>
    <definedName name="solver_rhs9" localSheetId="1" hidden="1">'Project-2'!$L$37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5" i="2" l="1"/>
  <c r="D198" i="2"/>
  <c r="E198" i="2"/>
  <c r="F198" i="2"/>
  <c r="G198" i="2"/>
  <c r="H198" i="2"/>
  <c r="I198" i="2"/>
  <c r="D199" i="2"/>
  <c r="E199" i="2"/>
  <c r="F199" i="2"/>
  <c r="G199" i="2"/>
  <c r="H199" i="2"/>
  <c r="I199" i="2"/>
  <c r="D200" i="2"/>
  <c r="E200" i="2"/>
  <c r="F200" i="2"/>
  <c r="G200" i="2"/>
  <c r="H200" i="2"/>
  <c r="I200" i="2"/>
  <c r="E197" i="2"/>
  <c r="F197" i="2"/>
  <c r="G197" i="2"/>
  <c r="H197" i="2"/>
  <c r="I197" i="2"/>
  <c r="D197" i="2"/>
  <c r="K220" i="2"/>
  <c r="I220" i="2"/>
  <c r="H220" i="2"/>
  <c r="G220" i="2"/>
  <c r="F220" i="2"/>
  <c r="E220" i="2"/>
  <c r="D220" i="2"/>
  <c r="J219" i="2"/>
  <c r="L219" i="2" s="1"/>
  <c r="J218" i="2"/>
  <c r="J217" i="2"/>
  <c r="L217" i="2" s="1"/>
  <c r="J216" i="2"/>
  <c r="L216" i="2" s="1"/>
  <c r="K211" i="2"/>
  <c r="I211" i="2"/>
  <c r="H211" i="2"/>
  <c r="G211" i="2"/>
  <c r="F211" i="2"/>
  <c r="E211" i="2"/>
  <c r="D211" i="2"/>
  <c r="J210" i="2"/>
  <c r="L210" i="2" s="1"/>
  <c r="J209" i="2"/>
  <c r="L209" i="2" s="1"/>
  <c r="J208" i="2"/>
  <c r="L208" i="2" s="1"/>
  <c r="J207" i="2"/>
  <c r="L207" i="2" s="1"/>
  <c r="D227" i="2" l="1"/>
  <c r="J220" i="2"/>
  <c r="L218" i="2"/>
  <c r="J211" i="2"/>
  <c r="D226" i="2" l="1"/>
  <c r="D228" i="2" s="1"/>
  <c r="D187" i="2" l="1"/>
  <c r="K182" i="2"/>
  <c r="D189" i="2" s="1"/>
  <c r="I182" i="2"/>
  <c r="H182" i="2"/>
  <c r="G182" i="2"/>
  <c r="F182" i="2"/>
  <c r="E182" i="2"/>
  <c r="D182" i="2"/>
  <c r="J181" i="2"/>
  <c r="L181" i="2" s="1"/>
  <c r="J180" i="2"/>
  <c r="J179" i="2"/>
  <c r="L179" i="2" s="1"/>
  <c r="J178" i="2"/>
  <c r="L178" i="2" s="1"/>
  <c r="K173" i="2"/>
  <c r="I173" i="2"/>
  <c r="H173" i="2"/>
  <c r="G173" i="2"/>
  <c r="F173" i="2"/>
  <c r="E173" i="2"/>
  <c r="D173" i="2"/>
  <c r="J172" i="2"/>
  <c r="L172" i="2" s="1"/>
  <c r="J171" i="2"/>
  <c r="L171" i="2" s="1"/>
  <c r="J170" i="2"/>
  <c r="L170" i="2" s="1"/>
  <c r="J169" i="2"/>
  <c r="L169" i="2" s="1"/>
  <c r="D160" i="2"/>
  <c r="E160" i="2"/>
  <c r="F160" i="2"/>
  <c r="G160" i="2"/>
  <c r="H160" i="2"/>
  <c r="I160" i="2"/>
  <c r="D161" i="2"/>
  <c r="E161" i="2"/>
  <c r="F161" i="2"/>
  <c r="G161" i="2"/>
  <c r="H161" i="2"/>
  <c r="I161" i="2"/>
  <c r="D162" i="2"/>
  <c r="E162" i="2"/>
  <c r="F162" i="2"/>
  <c r="G162" i="2"/>
  <c r="H162" i="2"/>
  <c r="I162" i="2"/>
  <c r="E159" i="2"/>
  <c r="F159" i="2"/>
  <c r="G159" i="2"/>
  <c r="H159" i="2"/>
  <c r="I159" i="2"/>
  <c r="D159" i="2"/>
  <c r="D47" i="2"/>
  <c r="D86" i="2"/>
  <c r="D122" i="2"/>
  <c r="D151" i="2"/>
  <c r="K146" i="2"/>
  <c r="I146" i="2"/>
  <c r="H146" i="2"/>
  <c r="G146" i="2"/>
  <c r="F146" i="2"/>
  <c r="E146" i="2"/>
  <c r="D146" i="2"/>
  <c r="J145" i="2"/>
  <c r="L145" i="2" s="1"/>
  <c r="J144" i="2"/>
  <c r="L144" i="2" s="1"/>
  <c r="J143" i="2"/>
  <c r="L143" i="2" s="1"/>
  <c r="J142" i="2"/>
  <c r="L142" i="2" s="1"/>
  <c r="K137" i="2"/>
  <c r="I137" i="2"/>
  <c r="H137" i="2"/>
  <c r="G137" i="2"/>
  <c r="F137" i="2"/>
  <c r="E137" i="2"/>
  <c r="D137" i="2"/>
  <c r="J136" i="2"/>
  <c r="L136" i="2" s="1"/>
  <c r="J135" i="2"/>
  <c r="J134" i="2"/>
  <c r="L134" i="2" s="1"/>
  <c r="J133" i="2"/>
  <c r="L133" i="2" s="1"/>
  <c r="D124" i="2"/>
  <c r="D123" i="2"/>
  <c r="D121" i="2"/>
  <c r="D95" i="2"/>
  <c r="E95" i="2"/>
  <c r="F95" i="2"/>
  <c r="G95" i="2"/>
  <c r="H95" i="2"/>
  <c r="I95" i="2"/>
  <c r="D96" i="2"/>
  <c r="E96" i="2"/>
  <c r="F96" i="2"/>
  <c r="G96" i="2"/>
  <c r="H96" i="2"/>
  <c r="I96" i="2"/>
  <c r="D97" i="2"/>
  <c r="E97" i="2"/>
  <c r="F97" i="2"/>
  <c r="G97" i="2"/>
  <c r="H97" i="2"/>
  <c r="I97" i="2"/>
  <c r="E94" i="2"/>
  <c r="F94" i="2"/>
  <c r="G94" i="2"/>
  <c r="H94" i="2"/>
  <c r="I94" i="2"/>
  <c r="D94" i="2"/>
  <c r="K116" i="2"/>
  <c r="I116" i="2"/>
  <c r="H116" i="2"/>
  <c r="G116" i="2"/>
  <c r="F116" i="2"/>
  <c r="E116" i="2"/>
  <c r="D116" i="2"/>
  <c r="J115" i="2"/>
  <c r="L115" i="2" s="1"/>
  <c r="J114" i="2"/>
  <c r="J113" i="2"/>
  <c r="L113" i="2" s="1"/>
  <c r="J112" i="2"/>
  <c r="L112" i="2" s="1"/>
  <c r="K107" i="2"/>
  <c r="I107" i="2"/>
  <c r="H107" i="2"/>
  <c r="G107" i="2"/>
  <c r="F107" i="2"/>
  <c r="E107" i="2"/>
  <c r="D107" i="2"/>
  <c r="J106" i="2"/>
  <c r="L106" i="2" s="1"/>
  <c r="J105" i="2"/>
  <c r="J104" i="2"/>
  <c r="L104" i="2" s="1"/>
  <c r="J103" i="2"/>
  <c r="L103" i="2" s="1"/>
  <c r="D85" i="2"/>
  <c r="K71" i="2"/>
  <c r="D59" i="2"/>
  <c r="E59" i="2"/>
  <c r="F59" i="2"/>
  <c r="G59" i="2"/>
  <c r="H59" i="2"/>
  <c r="I59" i="2"/>
  <c r="D60" i="2"/>
  <c r="E60" i="2"/>
  <c r="F60" i="2"/>
  <c r="G60" i="2"/>
  <c r="H60" i="2"/>
  <c r="I60" i="2"/>
  <c r="D61" i="2"/>
  <c r="E61" i="2"/>
  <c r="F61" i="2"/>
  <c r="G61" i="2"/>
  <c r="H61" i="2"/>
  <c r="I61" i="2"/>
  <c r="E58" i="2"/>
  <c r="F58" i="2"/>
  <c r="G58" i="2"/>
  <c r="H58" i="2"/>
  <c r="I58" i="2"/>
  <c r="D58" i="2"/>
  <c r="K80" i="2"/>
  <c r="I80" i="2"/>
  <c r="H80" i="2"/>
  <c r="G80" i="2"/>
  <c r="F80" i="2"/>
  <c r="E80" i="2"/>
  <c r="D80" i="2"/>
  <c r="J79" i="2"/>
  <c r="L79" i="2" s="1"/>
  <c r="J78" i="2"/>
  <c r="J77" i="2"/>
  <c r="L77" i="2" s="1"/>
  <c r="J76" i="2"/>
  <c r="L76" i="2" s="1"/>
  <c r="I71" i="2"/>
  <c r="H71" i="2"/>
  <c r="G71" i="2"/>
  <c r="F71" i="2"/>
  <c r="E71" i="2"/>
  <c r="D71" i="2"/>
  <c r="J70" i="2"/>
  <c r="L70" i="2" s="1"/>
  <c r="J69" i="2"/>
  <c r="J68" i="2"/>
  <c r="L68" i="2" s="1"/>
  <c r="J67" i="2"/>
  <c r="L67" i="2" s="1"/>
  <c r="R39" i="2"/>
  <c r="Q40" i="2"/>
  <c r="P40" i="2"/>
  <c r="U29" i="2"/>
  <c r="U30" i="2"/>
  <c r="U31" i="2"/>
  <c r="U32" i="2"/>
  <c r="U33" i="2"/>
  <c r="U28" i="2"/>
  <c r="Q41" i="2" s="1"/>
  <c r="R29" i="2"/>
  <c r="R30" i="2"/>
  <c r="R31" i="2"/>
  <c r="R32" i="2"/>
  <c r="R33" i="2"/>
  <c r="R28" i="2"/>
  <c r="P41" i="2" s="1"/>
  <c r="R41" i="2" s="1"/>
  <c r="D48" i="2"/>
  <c r="K32" i="2"/>
  <c r="K41" i="2"/>
  <c r="L38" i="2"/>
  <c r="L39" i="2"/>
  <c r="L40" i="2"/>
  <c r="L37" i="2"/>
  <c r="L29" i="2"/>
  <c r="L30" i="2"/>
  <c r="L31" i="2"/>
  <c r="L28" i="2"/>
  <c r="C33" i="1"/>
  <c r="A63" i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62" i="1"/>
  <c r="C43" i="1"/>
  <c r="C44" i="1" s="1"/>
  <c r="C42" i="1"/>
  <c r="G61" i="1" s="1"/>
  <c r="J29" i="2"/>
  <c r="J30" i="2"/>
  <c r="J31" i="2"/>
  <c r="J28" i="2"/>
  <c r="C41" i="1"/>
  <c r="F61" i="1" s="1"/>
  <c r="C39" i="1"/>
  <c r="H61" i="1" s="1"/>
  <c r="C37" i="1"/>
  <c r="C38" i="1" s="1"/>
  <c r="E41" i="2"/>
  <c r="F41" i="2"/>
  <c r="G41" i="2"/>
  <c r="H41" i="2"/>
  <c r="I41" i="2"/>
  <c r="D41" i="2"/>
  <c r="C35" i="1"/>
  <c r="E32" i="2"/>
  <c r="F32" i="2"/>
  <c r="G32" i="2"/>
  <c r="H32" i="2"/>
  <c r="I32" i="2"/>
  <c r="J32" i="2"/>
  <c r="D32" i="2"/>
  <c r="C31" i="1"/>
  <c r="C32" i="1"/>
  <c r="E61" i="1" s="1"/>
  <c r="D46" i="2"/>
  <c r="C30" i="1"/>
  <c r="J38" i="2"/>
  <c r="J39" i="2"/>
  <c r="J40" i="2"/>
  <c r="J37" i="2"/>
  <c r="J182" i="2" l="1"/>
  <c r="L180" i="2"/>
  <c r="J173" i="2"/>
  <c r="D153" i="2"/>
  <c r="J137" i="2"/>
  <c r="L135" i="2"/>
  <c r="J146" i="2"/>
  <c r="J107" i="2"/>
  <c r="J116" i="2"/>
  <c r="L114" i="2"/>
  <c r="L105" i="2"/>
  <c r="D87" i="2"/>
  <c r="J71" i="2"/>
  <c r="J80" i="2"/>
  <c r="L69" i="2"/>
  <c r="L78" i="2"/>
  <c r="Q42" i="2"/>
  <c r="P42" i="2"/>
  <c r="R40" i="2"/>
  <c r="C40" i="1"/>
  <c r="D61" i="1" s="1"/>
  <c r="J41" i="2"/>
  <c r="C34" i="1"/>
  <c r="D188" i="2" l="1"/>
  <c r="D190" i="2" s="1"/>
  <c r="D152" i="2"/>
  <c r="D154" i="2" s="1"/>
  <c r="D88" i="2"/>
  <c r="R42" i="2"/>
  <c r="C36" i="1"/>
  <c r="C49" i="1" s="1"/>
  <c r="C61" i="1"/>
  <c r="D49" i="2"/>
  <c r="C45" i="1" l="1"/>
  <c r="C47" i="1"/>
  <c r="C46" i="1"/>
  <c r="C48" i="1"/>
  <c r="C50" i="1" l="1"/>
  <c r="C51" i="1" s="1"/>
  <c r="B61" i="1" s="1"/>
  <c r="J63" i="1" s="1"/>
  <c r="J65" i="1" l="1"/>
  <c r="J66" i="1"/>
  <c r="J62" i="1"/>
  <c r="J64" i="1"/>
  <c r="I4" i="1"/>
  <c r="J61" i="1"/>
  <c r="I2" i="1"/>
  <c r="I3" i="1"/>
  <c r="I6" i="1" l="1"/>
  <c r="I5" i="1"/>
</calcChain>
</file>

<file path=xl/sharedStrings.xml><?xml version="1.0" encoding="utf-8"?>
<sst xmlns="http://schemas.openxmlformats.org/spreadsheetml/2006/main" count="424" uniqueCount="115">
  <si>
    <t>Planning horizon (months)</t>
  </si>
  <si>
    <t>Planning Horizon= 12 months</t>
  </si>
  <si>
    <t>Base demand per month (mean)</t>
  </si>
  <si>
    <t>Profit= Revenue- Total cost</t>
  </si>
  <si>
    <t>Demand std dev</t>
  </si>
  <si>
    <t>SP per unit</t>
  </si>
  <si>
    <t>Selling price per unit</t>
  </si>
  <si>
    <t>Average Demand</t>
  </si>
  <si>
    <t>Base part cost per unit (mean)</t>
  </si>
  <si>
    <t>Part cost per unit</t>
  </si>
  <si>
    <t>Part cost std dev</t>
  </si>
  <si>
    <t>Labour cost per unit</t>
  </si>
  <si>
    <t>Base labour cost per unit (mean)</t>
  </si>
  <si>
    <t>Fixed cost per period</t>
  </si>
  <si>
    <t>Labour cost std dev</t>
  </si>
  <si>
    <t>Supplier failure probability</t>
  </si>
  <si>
    <t>Defect rate min</t>
  </si>
  <si>
    <t>Defect rate max</t>
  </si>
  <si>
    <t>Lead time delay min (days)</t>
  </si>
  <si>
    <t>Lead time delay max (days)</t>
  </si>
  <si>
    <t>FX rate (mean)</t>
  </si>
  <si>
    <t>FX rate std dev</t>
  </si>
  <si>
    <t>Fixed cost per month</t>
  </si>
  <si>
    <t>Sustainibility Inputs</t>
  </si>
  <si>
    <t>Carbon tax per unit (mean)</t>
  </si>
  <si>
    <t>Carbon tax per unit std dev</t>
  </si>
  <si>
    <t>Energy cost per unit (mean)</t>
  </si>
  <si>
    <t>Energy cost per unit std dev</t>
  </si>
  <si>
    <t>Probability of sustainability penalty</t>
  </si>
  <si>
    <t>Penalty amount (if incurred, per month)</t>
  </si>
  <si>
    <t>Random Demand(Units)</t>
  </si>
  <si>
    <t>Random Part Cost per Unit</t>
  </si>
  <si>
    <t>Random Labour Cost per Unit</t>
  </si>
  <si>
    <t>Supplier Failure (0/1)</t>
  </si>
  <si>
    <t>Effective Demand (after failure)</t>
  </si>
  <si>
    <t>Defect Rate</t>
  </si>
  <si>
    <t>Good Units Sold</t>
  </si>
  <si>
    <t>Lead Time Delay (days)</t>
  </si>
  <si>
    <t>Lead Time Penalty Cost</t>
  </si>
  <si>
    <t>FX Rate</t>
  </si>
  <si>
    <t>Effective Part Cost per Unit</t>
  </si>
  <si>
    <t>Carbon Tax per Unit</t>
  </si>
  <si>
    <t>Energy Cost per Unit</t>
  </si>
  <si>
    <t>Sustainability Penalty Occurs (0/1)</t>
  </si>
  <si>
    <t>Sustainability Penalty Cost</t>
  </si>
  <si>
    <t>Revenue</t>
  </si>
  <si>
    <t>Part Cost Total</t>
  </si>
  <si>
    <t>Labour Cost Total</t>
  </si>
  <si>
    <t>Carbon Tax Total</t>
  </si>
  <si>
    <t>Energy Cost Total</t>
  </si>
  <si>
    <t>Total Cost</t>
  </si>
  <si>
    <t>Profit</t>
  </si>
  <si>
    <t>Iteration</t>
  </si>
  <si>
    <t>Demand</t>
  </si>
  <si>
    <t>PartCost</t>
  </si>
  <si>
    <t>LabourCost</t>
  </si>
  <si>
    <t>CarbonTax</t>
  </si>
  <si>
    <t>EnergyCost</t>
  </si>
  <si>
    <t>FXRate</t>
  </si>
  <si>
    <t>Given</t>
  </si>
  <si>
    <t>Zone</t>
  </si>
  <si>
    <t>Wipes Demand</t>
  </si>
  <si>
    <t>Ointment Demand</t>
  </si>
  <si>
    <t>Northwest</t>
  </si>
  <si>
    <t>Southwest</t>
  </si>
  <si>
    <t>Upper Midwest</t>
  </si>
  <si>
    <t>Lower Midwest</t>
  </si>
  <si>
    <t>Northeast</t>
  </si>
  <si>
    <t>Southeast</t>
  </si>
  <si>
    <t>Plant \ Zone</t>
  </si>
  <si>
    <t>Chicago</t>
  </si>
  <si>
    <t>Princeton</t>
  </si>
  <si>
    <t>Atlanta</t>
  </si>
  <si>
    <t>Los Angeles</t>
  </si>
  <si>
    <t>Line</t>
  </si>
  <si>
    <t>Capacity</t>
  </si>
  <si>
    <t>Fixed Cost</t>
  </si>
  <si>
    <t>Variable Cost</t>
  </si>
  <si>
    <t>Wipes</t>
  </si>
  <si>
    <t>Ointment</t>
  </si>
  <si>
    <t>Solution</t>
  </si>
  <si>
    <t>Wipes Shipments</t>
  </si>
  <si>
    <t>Total Shipped</t>
  </si>
  <si>
    <t>Line Decision</t>
  </si>
  <si>
    <t>Excess Capacity</t>
  </si>
  <si>
    <t>Total</t>
  </si>
  <si>
    <t>Ointments Shipments</t>
  </si>
  <si>
    <t>Transport Cost</t>
  </si>
  <si>
    <t xml:space="preserve"> The optimal network opens wipes production lines at Chicago, Atlanta, and Los Angeles, while ointment production is centralized at Chicago only. </t>
  </si>
  <si>
    <t xml:space="preserve"> This configuration balances transportation savings for high-volume wipes against the fixed costs of additional lines, while low-volume ointment demand is served centrally to avoid unnecessary fixed investments.</t>
  </si>
  <si>
    <t>Mean Profit</t>
  </si>
  <si>
    <t>Std Dev Profit</t>
  </si>
  <si>
    <t>Number of Iterations</t>
  </si>
  <si>
    <t>95% CI Lower</t>
  </si>
  <si>
    <t>95% CI Upper</t>
  </si>
  <si>
    <t>Senstivity Analysis</t>
  </si>
  <si>
    <t>Corr Profit-Demand</t>
  </si>
  <si>
    <t>Corr Profit-PartCost</t>
  </si>
  <si>
    <t>Corr Profit-Labour Cost</t>
  </si>
  <si>
    <t>Corr Profit-Carbon Tax</t>
  </si>
  <si>
    <t>Corr Profit-EnergyCost</t>
  </si>
  <si>
    <t>Corr Profit-FXRate</t>
  </si>
  <si>
    <t>Region</t>
  </si>
  <si>
    <t>Cost/unit</t>
  </si>
  <si>
    <t>Upper Midewest</t>
  </si>
  <si>
    <t>Northest</t>
  </si>
  <si>
    <t>Total Cost Calculations</t>
  </si>
  <si>
    <t>Costs</t>
  </si>
  <si>
    <t>Q1. Annual Cost running from only Chicago</t>
  </si>
  <si>
    <t>Q2. Product Line Decisions</t>
  </si>
  <si>
    <t>Q2. a) Transportation Costs are Halved</t>
  </si>
  <si>
    <t>Q2. a) Transportation Costs are Doubled</t>
  </si>
  <si>
    <t>Q3. Build Network from Scratch i.e No Chicago</t>
  </si>
  <si>
    <t>Q3. a) Transportation Costs are Halved</t>
  </si>
  <si>
    <t>Q3. a) Transportation Costs are Doubled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</si>
</sst>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/>
    </xf>
    <xf numFmtId="0" fontId="1" fillId="2" borderId="0" xfId="0" applyFont="1" applyFill="1"/>
    <xf numFmtId="0" fontId="1" fillId="0" borderId="1" xfId="0" applyFont="1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E1F4922-BC16-4BE5-9C25-53CFB76D11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Profit Distribution (Monte Carlo Simulation)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5278AA4A-72EA-4CFD-86B9-8BE454B165F8}">
          <cx:dataId val="0"/>
          <cx:layoutPr>
            <cx:binning intervalClosed="r">
              <cx:binCount val="1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670560</xdr:colOff>
      <xdr:row>1</xdr:row>
      <xdr:rowOff>57150</xdr:rowOff>
    </xdr:from>
    <xdr:to>
      <xdr:col>6</xdr:col>
      <xdr:colOff>1516380</xdr:colOff>
      <xdr:row>16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0A75861-D817-8D4A-5E9E-4ABC777DFF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13220" y="240030"/>
              <a:ext cx="53492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C47DC-F632-4AF8-8A8E-BC8674F2CC05}">
  <dimension ref="A1:J1060"/>
  <sheetViews>
    <sheetView workbookViewId="0">
      <selection activeCell="C14" sqref="C14"/>
    </sheetView>
  </sheetViews>
  <sheetFormatPr defaultRowHeight="14.4" x14ac:dyDescent="0.3"/>
  <cols>
    <col min="1" max="1" width="34.33203125" bestFit="1" customWidth="1"/>
    <col min="2" max="2" width="30.33203125" bestFit="1" customWidth="1"/>
    <col min="3" max="3" width="23.44140625" bestFit="1" customWidth="1"/>
    <col min="4" max="4" width="36.5546875" bestFit="1" customWidth="1"/>
    <col min="6" max="6" width="20.21875" customWidth="1"/>
    <col min="7" max="7" width="29.77734375" customWidth="1"/>
    <col min="8" max="8" width="26.6640625" customWidth="1"/>
    <col min="9" max="9" width="25.77734375" customWidth="1"/>
    <col min="13" max="13" width="18.5546875" bestFit="1" customWidth="1"/>
  </cols>
  <sheetData>
    <row r="1" spans="1:9" x14ac:dyDescent="0.3">
      <c r="A1" t="s">
        <v>0</v>
      </c>
      <c r="B1">
        <v>12</v>
      </c>
    </row>
    <row r="2" spans="1:9" x14ac:dyDescent="0.3">
      <c r="A2" t="s">
        <v>2</v>
      </c>
      <c r="B2">
        <v>10000</v>
      </c>
      <c r="H2" s="10" t="s">
        <v>90</v>
      </c>
      <c r="I2" s="1">
        <f ca="1">AVERAGE(B61:B1060)</f>
        <v>20667747.353482228</v>
      </c>
    </row>
    <row r="3" spans="1:9" x14ac:dyDescent="0.3">
      <c r="A3" t="s">
        <v>4</v>
      </c>
      <c r="B3">
        <v>2000</v>
      </c>
      <c r="H3" s="10" t="s">
        <v>91</v>
      </c>
      <c r="I3" s="1">
        <f ca="1">_xlfn.STDEV.S(B61:B1060)</f>
        <v>6116443.8901892407</v>
      </c>
    </row>
    <row r="4" spans="1:9" x14ac:dyDescent="0.3">
      <c r="A4" t="s">
        <v>6</v>
      </c>
      <c r="B4">
        <v>500</v>
      </c>
      <c r="H4" s="10" t="s">
        <v>92</v>
      </c>
      <c r="I4" s="1">
        <f ca="1">COUNTA(B61:B1060)</f>
        <v>1000</v>
      </c>
    </row>
    <row r="5" spans="1:9" x14ac:dyDescent="0.3">
      <c r="A5" t="s">
        <v>8</v>
      </c>
      <c r="B5">
        <v>200</v>
      </c>
      <c r="H5" s="10" t="s">
        <v>93</v>
      </c>
      <c r="I5" s="1">
        <f ca="1">I2 - 1.96 * I3 / SQRT(I4)</f>
        <v>20288646.233559299</v>
      </c>
    </row>
    <row r="6" spans="1:9" x14ac:dyDescent="0.3">
      <c r="A6" t="s">
        <v>10</v>
      </c>
      <c r="B6">
        <v>40</v>
      </c>
      <c r="H6" s="10" t="s">
        <v>94</v>
      </c>
      <c r="I6" s="1">
        <f ca="1">I2 + 1.96 * I3 / SQRT(I4)</f>
        <v>21046848.473405156</v>
      </c>
    </row>
    <row r="7" spans="1:9" x14ac:dyDescent="0.3">
      <c r="A7" t="s">
        <v>12</v>
      </c>
      <c r="B7">
        <v>100</v>
      </c>
    </row>
    <row r="8" spans="1:9" x14ac:dyDescent="0.3">
      <c r="A8" t="s">
        <v>14</v>
      </c>
      <c r="B8">
        <v>20</v>
      </c>
      <c r="H8" t="s">
        <v>1</v>
      </c>
    </row>
    <row r="9" spans="1:9" x14ac:dyDescent="0.3">
      <c r="A9" t="s">
        <v>15</v>
      </c>
      <c r="B9">
        <v>0.05</v>
      </c>
      <c r="H9" t="s">
        <v>3</v>
      </c>
    </row>
    <row r="10" spans="1:9" x14ac:dyDescent="0.3">
      <c r="A10" t="s">
        <v>16</v>
      </c>
      <c r="B10">
        <v>0.01</v>
      </c>
      <c r="H10" t="s">
        <v>5</v>
      </c>
      <c r="I10">
        <v>500</v>
      </c>
    </row>
    <row r="11" spans="1:9" x14ac:dyDescent="0.3">
      <c r="A11" t="s">
        <v>17</v>
      </c>
      <c r="B11">
        <v>0.05</v>
      </c>
      <c r="H11" t="s">
        <v>7</v>
      </c>
      <c r="I11">
        <v>10000</v>
      </c>
    </row>
    <row r="12" spans="1:9" x14ac:dyDescent="0.3">
      <c r="A12" t="s">
        <v>18</v>
      </c>
      <c r="B12">
        <v>0</v>
      </c>
      <c r="H12" t="s">
        <v>9</v>
      </c>
      <c r="I12">
        <v>200</v>
      </c>
    </row>
    <row r="13" spans="1:9" x14ac:dyDescent="0.3">
      <c r="A13" t="s">
        <v>19</v>
      </c>
      <c r="B13">
        <v>7</v>
      </c>
      <c r="H13" t="s">
        <v>11</v>
      </c>
      <c r="I13">
        <v>100</v>
      </c>
    </row>
    <row r="14" spans="1:9" x14ac:dyDescent="0.3">
      <c r="A14" t="s">
        <v>20</v>
      </c>
      <c r="B14">
        <v>1</v>
      </c>
      <c r="H14" t="s">
        <v>13</v>
      </c>
      <c r="I14">
        <v>100000</v>
      </c>
    </row>
    <row r="15" spans="1:9" x14ac:dyDescent="0.3">
      <c r="A15" t="s">
        <v>21</v>
      </c>
      <c r="B15">
        <v>0.1</v>
      </c>
    </row>
    <row r="16" spans="1:9" x14ac:dyDescent="0.3">
      <c r="A16" t="s">
        <v>22</v>
      </c>
      <c r="B16">
        <v>100000</v>
      </c>
    </row>
    <row r="17" spans="1:3" x14ac:dyDescent="0.3">
      <c r="A17" s="4" t="s">
        <v>23</v>
      </c>
    </row>
    <row r="18" spans="1:3" x14ac:dyDescent="0.3">
      <c r="A18" t="s">
        <v>24</v>
      </c>
      <c r="B18">
        <v>5</v>
      </c>
    </row>
    <row r="19" spans="1:3" x14ac:dyDescent="0.3">
      <c r="A19" t="s">
        <v>25</v>
      </c>
      <c r="B19">
        <v>2</v>
      </c>
    </row>
    <row r="20" spans="1:3" x14ac:dyDescent="0.3">
      <c r="A20" t="s">
        <v>26</v>
      </c>
      <c r="B20">
        <v>10</v>
      </c>
    </row>
    <row r="21" spans="1:3" x14ac:dyDescent="0.3">
      <c r="A21" t="s">
        <v>27</v>
      </c>
      <c r="B21">
        <v>3</v>
      </c>
    </row>
    <row r="22" spans="1:3" x14ac:dyDescent="0.3">
      <c r="A22" t="s">
        <v>28</v>
      </c>
      <c r="B22">
        <v>0.1</v>
      </c>
    </row>
    <row r="23" spans="1:3" x14ac:dyDescent="0.3">
      <c r="A23" t="s">
        <v>29</v>
      </c>
      <c r="B23">
        <v>50000</v>
      </c>
    </row>
    <row r="30" spans="1:3" x14ac:dyDescent="0.3">
      <c r="B30" t="s">
        <v>30</v>
      </c>
      <c r="C30" s="8">
        <f ca="1">MAX(0,NORMINV(RAND(),$B$2*$B$1,SQRT($B$1)))</f>
        <v>120004.23253315742</v>
      </c>
    </row>
    <row r="31" spans="1:3" x14ac:dyDescent="0.3">
      <c r="B31" t="s">
        <v>31</v>
      </c>
      <c r="C31">
        <f ca="1">MAX(0, NORMINV(RAND(), $B$5, $B$6))</f>
        <v>167.34287460447428</v>
      </c>
    </row>
    <row r="32" spans="1:3" x14ac:dyDescent="0.3">
      <c r="B32" t="s">
        <v>32</v>
      </c>
      <c r="C32">
        <f ca="1">MAX(0, NORMINV(RAND(), $B$7, $B$8))</f>
        <v>90.224808467860569</v>
      </c>
    </row>
    <row r="33" spans="2:3" x14ac:dyDescent="0.3">
      <c r="B33" t="s">
        <v>33</v>
      </c>
      <c r="C33">
        <f ca="1">IF(RAND() &lt; $B$9, 1, 0)</f>
        <v>0</v>
      </c>
    </row>
    <row r="34" spans="2:3" x14ac:dyDescent="0.3">
      <c r="B34" t="s">
        <v>34</v>
      </c>
      <c r="C34">
        <f ca="1">IF($C$33=1, 0.5 * $C$30, $C$30)</f>
        <v>120004.23253315742</v>
      </c>
    </row>
    <row r="35" spans="2:3" x14ac:dyDescent="0.3">
      <c r="B35" t="s">
        <v>35</v>
      </c>
      <c r="C35">
        <f ca="1">RAND() * ($B$11 - $B$10) + $B$10</f>
        <v>3.4923272334447822E-2</v>
      </c>
    </row>
    <row r="36" spans="2:3" x14ac:dyDescent="0.3">
      <c r="B36" t="s">
        <v>36</v>
      </c>
      <c r="C36">
        <f ca="1">$C$34 * (1 - $C$35)</f>
        <v>115813.29203911556</v>
      </c>
    </row>
    <row r="37" spans="2:3" x14ac:dyDescent="0.3">
      <c r="B37" t="s">
        <v>37</v>
      </c>
      <c r="C37">
        <f ca="1">RAND() * ($B$13 - $B$12) + $B$12</f>
        <v>1.5918798861054335</v>
      </c>
    </row>
    <row r="38" spans="2:3" x14ac:dyDescent="0.3">
      <c r="B38" t="s">
        <v>38</v>
      </c>
      <c r="C38">
        <f ca="1" xml:space="preserve"> $C$37 * 2000</f>
        <v>3183.7597722108671</v>
      </c>
    </row>
    <row r="39" spans="2:3" x14ac:dyDescent="0.3">
      <c r="B39" t="s">
        <v>39</v>
      </c>
      <c r="C39">
        <f ca="1">NORMINV(RAND(), $B$14, $B$15)</f>
        <v>1.0524004688452206</v>
      </c>
    </row>
    <row r="40" spans="2:3" x14ac:dyDescent="0.3">
      <c r="B40" t="s">
        <v>40</v>
      </c>
      <c r="C40">
        <f ca="1">$C$31 * $C$39</f>
        <v>176.11171969165571</v>
      </c>
    </row>
    <row r="41" spans="2:3" x14ac:dyDescent="0.3">
      <c r="B41" t="s">
        <v>41</v>
      </c>
      <c r="C41">
        <f ca="1">MAX(0, NORMINV(RAND(), $B$18, $B$19))</f>
        <v>0.4940698524971685</v>
      </c>
    </row>
    <row r="42" spans="2:3" x14ac:dyDescent="0.3">
      <c r="B42" t="s">
        <v>42</v>
      </c>
      <c r="C42">
        <f ca="1">MAX(0, NORMINV(RAND(), $B$20, $B$21))</f>
        <v>9.9843226271350698</v>
      </c>
    </row>
    <row r="43" spans="2:3" x14ac:dyDescent="0.3">
      <c r="B43" t="s">
        <v>43</v>
      </c>
      <c r="C43">
        <f ca="1">IF(RAND() &lt; $B$22, 1, 0)</f>
        <v>0</v>
      </c>
    </row>
    <row r="44" spans="2:3" x14ac:dyDescent="0.3">
      <c r="B44" t="s">
        <v>44</v>
      </c>
      <c r="C44">
        <f ca="1">$C$43 * $B$23</f>
        <v>0</v>
      </c>
    </row>
    <row r="45" spans="2:3" x14ac:dyDescent="0.3">
      <c r="B45" s="4" t="s">
        <v>45</v>
      </c>
      <c r="C45">
        <f ca="1">$C$36 * $B$4</f>
        <v>57906646.019557782</v>
      </c>
    </row>
    <row r="46" spans="2:3" x14ac:dyDescent="0.3">
      <c r="B46" t="s">
        <v>46</v>
      </c>
      <c r="C46">
        <f ca="1">$C$36 * $C$40</f>
        <v>20396078.024160583</v>
      </c>
    </row>
    <row r="47" spans="2:3" x14ac:dyDescent="0.3">
      <c r="B47" t="s">
        <v>47</v>
      </c>
      <c r="C47">
        <f ca="1">$C$36 * $C$32</f>
        <v>10449232.092261603</v>
      </c>
    </row>
    <row r="48" spans="2:3" x14ac:dyDescent="0.3">
      <c r="B48" t="s">
        <v>48</v>
      </c>
      <c r="C48">
        <f ca="1">$C$36 * $C$41</f>
        <v>57219.856114977323</v>
      </c>
    </row>
    <row r="49" spans="1:10" x14ac:dyDescent="0.3">
      <c r="B49" t="s">
        <v>49</v>
      </c>
      <c r="C49">
        <f ca="1">$C$36 * $C$42</f>
        <v>1156317.2722291434</v>
      </c>
    </row>
    <row r="50" spans="1:10" x14ac:dyDescent="0.3">
      <c r="B50" t="s">
        <v>50</v>
      </c>
      <c r="C50">
        <f ca="1">$C$46 + $C$47 + $C$48 + $C$49 + $B$16 + $C$38 + $C$44</f>
        <v>32162031.004538514</v>
      </c>
    </row>
    <row r="51" spans="1:10" x14ac:dyDescent="0.3">
      <c r="B51" s="4" t="s">
        <v>51</v>
      </c>
      <c r="C51">
        <f ca="1">$C$45 - $C$50</f>
        <v>25744615.015019268</v>
      </c>
    </row>
    <row r="60" spans="1:10" x14ac:dyDescent="0.3">
      <c r="A60" s="4" t="s">
        <v>52</v>
      </c>
      <c r="B60" s="4" t="s">
        <v>51</v>
      </c>
      <c r="C60" s="4" t="s">
        <v>53</v>
      </c>
      <c r="D60" s="4" t="s">
        <v>54</v>
      </c>
      <c r="E60" s="4" t="s">
        <v>55</v>
      </c>
      <c r="F60" s="4" t="s">
        <v>56</v>
      </c>
      <c r="G60" s="4" t="s">
        <v>57</v>
      </c>
      <c r="H60" s="4" t="s">
        <v>58</v>
      </c>
      <c r="I60" s="4" t="s">
        <v>95</v>
      </c>
    </row>
    <row r="61" spans="1:10" x14ac:dyDescent="0.3">
      <c r="A61">
        <v>1</v>
      </c>
      <c r="B61">
        <f ca="1">$C$51</f>
        <v>25744615.015019268</v>
      </c>
      <c r="C61">
        <f ca="1">$C$34</f>
        <v>120004.23253315742</v>
      </c>
      <c r="D61">
        <f ca="1">$C$40</f>
        <v>176.11171969165571</v>
      </c>
      <c r="E61">
        <f ca="1">$C$32</f>
        <v>90.224808467860569</v>
      </c>
      <c r="F61">
        <f ca="1">$C$41</f>
        <v>0.4940698524971685</v>
      </c>
      <c r="G61">
        <f ca="1">$C$42</f>
        <v>9.9843226271350698</v>
      </c>
      <c r="H61">
        <f ca="1">$C$39</f>
        <v>1.0524004688452206</v>
      </c>
      <c r="I61" t="s">
        <v>96</v>
      </c>
      <c r="J61">
        <f ca="1">CORREL(B61:B1060, C61:C1060)</f>
        <v>0.37390006994248387</v>
      </c>
    </row>
    <row r="62" spans="1:10" x14ac:dyDescent="0.3">
      <c r="A62">
        <f>A61+1</f>
        <v>2</v>
      </c>
      <c r="B62">
        <f t="dataTable" ref="B62:H1060" dt2D="0" dtr="0" r1="I61" ca="1"/>
        <v>22085019.788140938</v>
      </c>
      <c r="C62">
        <v>120004.69271845676</v>
      </c>
      <c r="D62">
        <v>195.61176659831739</v>
      </c>
      <c r="E62">
        <v>94.6090821659716</v>
      </c>
      <c r="F62">
        <v>5.1469514805839278</v>
      </c>
      <c r="G62">
        <v>12.589205508528675</v>
      </c>
      <c r="H62">
        <v>1.0406761460665364</v>
      </c>
      <c r="I62" t="s">
        <v>97</v>
      </c>
      <c r="J62">
        <f ca="1">CORREL(B61:B1060, D61:D1060)</f>
        <v>-0.84182601789794931</v>
      </c>
    </row>
    <row r="63" spans="1:10" x14ac:dyDescent="0.3">
      <c r="A63">
        <f t="shared" ref="A63:A126" si="0">A62+1</f>
        <v>3</v>
      </c>
      <c r="B63">
        <v>32167423.325639911</v>
      </c>
      <c r="C63">
        <v>119997.54343327483</v>
      </c>
      <c r="D63">
        <v>107.60821283522644</v>
      </c>
      <c r="E63">
        <v>100.22411069261881</v>
      </c>
      <c r="F63">
        <v>6.1459714931288447</v>
      </c>
      <c r="G63">
        <v>6.1599044327891406</v>
      </c>
      <c r="H63">
        <v>0.84461752456173445</v>
      </c>
      <c r="I63" t="s">
        <v>98</v>
      </c>
      <c r="J63">
        <f ca="1">CORREL(B61:B1060,E61:E1060)</f>
        <v>-0.40649309571146158</v>
      </c>
    </row>
    <row r="64" spans="1:10" x14ac:dyDescent="0.3">
      <c r="A64">
        <f t="shared" si="0"/>
        <v>4</v>
      </c>
      <c r="B64">
        <v>12349681.181313425</v>
      </c>
      <c r="C64">
        <v>119996.92757901708</v>
      </c>
      <c r="D64">
        <v>243.39527477197811</v>
      </c>
      <c r="E64">
        <v>129.94083834672688</v>
      </c>
      <c r="F64">
        <v>4.5628637785463724</v>
      </c>
      <c r="G64">
        <v>14.276701087252322</v>
      </c>
      <c r="H64">
        <v>1.1083210658664397</v>
      </c>
      <c r="I64" t="s">
        <v>99</v>
      </c>
      <c r="J64">
        <f ca="1">CORREL(B61:B1060,F61:F1060)</f>
        <v>-6.006892304217222E-2</v>
      </c>
    </row>
    <row r="65" spans="1:10" x14ac:dyDescent="0.3">
      <c r="A65">
        <f t="shared" si="0"/>
        <v>5</v>
      </c>
      <c r="B65">
        <v>18525929.353319503</v>
      </c>
      <c r="C65">
        <v>120006.88805246064</v>
      </c>
      <c r="D65">
        <v>224.10713010256936</v>
      </c>
      <c r="E65">
        <v>98.516655628299134</v>
      </c>
      <c r="F65">
        <v>5.205341464117768</v>
      </c>
      <c r="G65">
        <v>12.642431798040443</v>
      </c>
      <c r="H65">
        <v>1.0495246821564157</v>
      </c>
      <c r="I65" t="s">
        <v>100</v>
      </c>
      <c r="J65">
        <f ca="1">CORREL(B61:B1060,G61:G1060)</f>
        <v>-5.7281753380142027E-2</v>
      </c>
    </row>
    <row r="66" spans="1:10" x14ac:dyDescent="0.3">
      <c r="A66">
        <f t="shared" si="0"/>
        <v>6</v>
      </c>
      <c r="B66">
        <v>30754371.05489637</v>
      </c>
      <c r="C66">
        <v>119998.96845852185</v>
      </c>
      <c r="D66">
        <v>109.44214728960006</v>
      </c>
      <c r="E66">
        <v>106.75754160869138</v>
      </c>
      <c r="F66">
        <v>7.1681502820675247</v>
      </c>
      <c r="G66">
        <v>13.449929042822557</v>
      </c>
      <c r="H66">
        <v>1.0663450587094598</v>
      </c>
      <c r="I66" t="s">
        <v>101</v>
      </c>
      <c r="J66">
        <f ca="1">CORREL(B61:B1060,H61:H1060)</f>
        <v>-0.38199594705886825</v>
      </c>
    </row>
    <row r="67" spans="1:10" x14ac:dyDescent="0.3">
      <c r="A67">
        <f t="shared" si="0"/>
        <v>7</v>
      </c>
      <c r="B67">
        <v>17705390.696654499</v>
      </c>
      <c r="C67">
        <v>120000.16221267321</v>
      </c>
      <c r="D67">
        <v>200.41906569697704</v>
      </c>
      <c r="E67">
        <v>124.44538482557689</v>
      </c>
      <c r="F67">
        <v>4.8379934515764313</v>
      </c>
      <c r="G67">
        <v>14.032910912681952</v>
      </c>
      <c r="H67">
        <v>0.9710952881404582</v>
      </c>
    </row>
    <row r="68" spans="1:10" x14ac:dyDescent="0.3">
      <c r="A68">
        <f t="shared" si="0"/>
        <v>8</v>
      </c>
      <c r="B68">
        <v>26469860.809614003</v>
      </c>
      <c r="C68">
        <v>119998.43280554037</v>
      </c>
      <c r="D68">
        <v>155.62512629871833</v>
      </c>
      <c r="E68">
        <v>95.617266705380104</v>
      </c>
      <c r="F68">
        <v>7.5037648884775852</v>
      </c>
      <c r="G68">
        <v>12.263979445305838</v>
      </c>
      <c r="H68">
        <v>1.0347187012152343</v>
      </c>
    </row>
    <row r="69" spans="1:10" x14ac:dyDescent="0.3">
      <c r="A69">
        <f t="shared" si="0"/>
        <v>9</v>
      </c>
      <c r="B69">
        <v>28518915.752699073</v>
      </c>
      <c r="C69">
        <v>119998.31399031202</v>
      </c>
      <c r="D69">
        <v>161.10211651313412</v>
      </c>
      <c r="E69">
        <v>78.710720328971149</v>
      </c>
      <c r="F69">
        <v>3.989255065164155</v>
      </c>
      <c r="G69">
        <v>9.2530083190313483</v>
      </c>
      <c r="H69">
        <v>1.0493485369796416</v>
      </c>
    </row>
    <row r="70" spans="1:10" x14ac:dyDescent="0.3">
      <c r="A70">
        <f t="shared" si="0"/>
        <v>10</v>
      </c>
      <c r="B70">
        <v>32195180.230620831</v>
      </c>
      <c r="C70">
        <v>119995.76360880546</v>
      </c>
      <c r="D70">
        <v>173.6438953208623</v>
      </c>
      <c r="E70">
        <v>35.579127772183185</v>
      </c>
      <c r="F70">
        <v>4.0428526673631335</v>
      </c>
      <c r="G70">
        <v>11.981124875094396</v>
      </c>
      <c r="H70">
        <v>0.92563474379416766</v>
      </c>
    </row>
    <row r="71" spans="1:10" x14ac:dyDescent="0.3">
      <c r="A71">
        <f t="shared" si="0"/>
        <v>11</v>
      </c>
      <c r="B71">
        <v>15620423.904527258</v>
      </c>
      <c r="C71">
        <v>59997.652981248713</v>
      </c>
      <c r="D71">
        <v>115.33650924655642</v>
      </c>
      <c r="E71">
        <v>99.904816382714529</v>
      </c>
      <c r="F71">
        <v>7.9761294705940005</v>
      </c>
      <c r="G71">
        <v>11.496887768722939</v>
      </c>
      <c r="H71">
        <v>0.95938884131865587</v>
      </c>
    </row>
    <row r="72" spans="1:10" x14ac:dyDescent="0.3">
      <c r="A72">
        <f t="shared" si="0"/>
        <v>12</v>
      </c>
      <c r="B72">
        <v>30323049.502223711</v>
      </c>
      <c r="C72">
        <v>120001.3626626172</v>
      </c>
      <c r="D72">
        <v>122.07351883180898</v>
      </c>
      <c r="E72">
        <v>105.57749098449932</v>
      </c>
      <c r="F72">
        <v>2.5210807326624742</v>
      </c>
      <c r="G72">
        <v>10.577936515355198</v>
      </c>
      <c r="H72">
        <v>1.0877193260822162</v>
      </c>
    </row>
    <row r="73" spans="1:10" x14ac:dyDescent="0.3">
      <c r="A73">
        <f t="shared" si="0"/>
        <v>13</v>
      </c>
      <c r="B73">
        <v>16745711.702021837</v>
      </c>
      <c r="C73">
        <v>119999.73198991673</v>
      </c>
      <c r="D73">
        <v>231.65756951927767</v>
      </c>
      <c r="E73">
        <v>105.28845418757109</v>
      </c>
      <c r="F73">
        <v>6.5852743732415293</v>
      </c>
      <c r="G73">
        <v>11.2243173898101</v>
      </c>
      <c r="H73">
        <v>0.97156148677554643</v>
      </c>
    </row>
    <row r="74" spans="1:10" x14ac:dyDescent="0.3">
      <c r="A74">
        <f t="shared" si="0"/>
        <v>14</v>
      </c>
      <c r="B74">
        <v>9375252.7542102039</v>
      </c>
      <c r="C74">
        <v>120004.37638294122</v>
      </c>
      <c r="D74">
        <v>280.27603236411591</v>
      </c>
      <c r="E74">
        <v>125.99410471775721</v>
      </c>
      <c r="F74">
        <v>2.5811882434534255</v>
      </c>
      <c r="G74">
        <v>10.978616064217857</v>
      </c>
      <c r="H74">
        <v>1.0073708572524647</v>
      </c>
    </row>
    <row r="75" spans="1:10" x14ac:dyDescent="0.3">
      <c r="A75">
        <f t="shared" si="0"/>
        <v>15</v>
      </c>
      <c r="B75">
        <v>17494331.929062687</v>
      </c>
      <c r="C75">
        <v>119992.896825608</v>
      </c>
      <c r="D75">
        <v>226.27499068721025</v>
      </c>
      <c r="E75">
        <v>105.83486178875208</v>
      </c>
      <c r="F75">
        <v>5.9373040324436737</v>
      </c>
      <c r="G75">
        <v>8.8692999074440255</v>
      </c>
      <c r="H75">
        <v>1.1165702229843932</v>
      </c>
    </row>
    <row r="76" spans="1:10" x14ac:dyDescent="0.3">
      <c r="A76">
        <f t="shared" si="0"/>
        <v>16</v>
      </c>
      <c r="B76">
        <v>20849374.743521973</v>
      </c>
      <c r="C76">
        <v>120002.24062739582</v>
      </c>
      <c r="D76">
        <v>201.12198045250059</v>
      </c>
      <c r="E76">
        <v>102.87772115590199</v>
      </c>
      <c r="F76">
        <v>5.850437481193592</v>
      </c>
      <c r="G76">
        <v>12.882528798948208</v>
      </c>
      <c r="H76">
        <v>0.97281312334837255</v>
      </c>
    </row>
    <row r="77" spans="1:10" x14ac:dyDescent="0.3">
      <c r="A77">
        <f t="shared" si="0"/>
        <v>17</v>
      </c>
      <c r="B77">
        <v>14420887.106960481</v>
      </c>
      <c r="C77">
        <v>60003.326577113905</v>
      </c>
      <c r="D77">
        <v>153.37264152479011</v>
      </c>
      <c r="E77">
        <v>82.05162102566338</v>
      </c>
      <c r="F77">
        <v>3.5234155074384379</v>
      </c>
      <c r="G77">
        <v>12.112589227913729</v>
      </c>
      <c r="H77">
        <v>0.78818549382196246</v>
      </c>
    </row>
    <row r="78" spans="1:10" x14ac:dyDescent="0.3">
      <c r="A78">
        <f t="shared" si="0"/>
        <v>18</v>
      </c>
      <c r="B78">
        <v>25746123.637498129</v>
      </c>
      <c r="C78">
        <v>120003.36132470187</v>
      </c>
      <c r="D78">
        <v>181.94691039401749</v>
      </c>
      <c r="E78">
        <v>77.495907412071574</v>
      </c>
      <c r="F78">
        <v>3.177209613033336</v>
      </c>
      <c r="G78">
        <v>12.270646974414591</v>
      </c>
      <c r="H78">
        <v>1.0116463543956264</v>
      </c>
    </row>
    <row r="79" spans="1:10" x14ac:dyDescent="0.3">
      <c r="A79">
        <f t="shared" si="0"/>
        <v>19</v>
      </c>
      <c r="B79">
        <v>15077844.566926273</v>
      </c>
      <c r="C79">
        <v>60002.768444966394</v>
      </c>
      <c r="D79">
        <v>129.21021114301601</v>
      </c>
      <c r="E79">
        <v>98.94492197981846</v>
      </c>
      <c r="F79">
        <v>0.16353860231445783</v>
      </c>
      <c r="G79">
        <v>5.8160418901166295</v>
      </c>
      <c r="H79">
        <v>0.99738973089317329</v>
      </c>
    </row>
    <row r="80" spans="1:10" x14ac:dyDescent="0.3">
      <c r="A80">
        <f t="shared" si="0"/>
        <v>20</v>
      </c>
      <c r="B80">
        <v>17265361.971771054</v>
      </c>
      <c r="C80">
        <v>119996.57353965256</v>
      </c>
      <c r="D80">
        <v>203.65326901347223</v>
      </c>
      <c r="E80">
        <v>139.74426701879912</v>
      </c>
      <c r="F80">
        <v>1.5902201069359667</v>
      </c>
      <c r="G80">
        <v>8.1538707520285669</v>
      </c>
      <c r="H80">
        <v>1.1707244520486229</v>
      </c>
    </row>
    <row r="81" spans="1:8" x14ac:dyDescent="0.3">
      <c r="A81">
        <f t="shared" si="0"/>
        <v>21</v>
      </c>
      <c r="B81">
        <v>14424725.461242361</v>
      </c>
      <c r="C81">
        <v>60002.573663002506</v>
      </c>
      <c r="D81">
        <v>145.0911174815933</v>
      </c>
      <c r="E81">
        <v>92.244074348547173</v>
      </c>
      <c r="F81">
        <v>4.7507694021897047</v>
      </c>
      <c r="G81">
        <v>10.638317238197665</v>
      </c>
      <c r="H81">
        <v>1.0572339550802714</v>
      </c>
    </row>
    <row r="82" spans="1:8" x14ac:dyDescent="0.3">
      <c r="A82">
        <f t="shared" si="0"/>
        <v>22</v>
      </c>
      <c r="B82">
        <v>20453195.167015694</v>
      </c>
      <c r="C82">
        <v>119995.50828941831</v>
      </c>
      <c r="D82">
        <v>230.43159021285382</v>
      </c>
      <c r="E82">
        <v>71.826776383984082</v>
      </c>
      <c r="F82">
        <v>5.0412625654840335</v>
      </c>
      <c r="G82">
        <v>14.461976347072977</v>
      </c>
      <c r="H82">
        <v>1.0843451836292148</v>
      </c>
    </row>
    <row r="83" spans="1:8" x14ac:dyDescent="0.3">
      <c r="A83">
        <f t="shared" si="0"/>
        <v>23</v>
      </c>
      <c r="B83">
        <v>26543789.730097476</v>
      </c>
      <c r="C83">
        <v>119995.07877584042</v>
      </c>
      <c r="D83">
        <v>179.76678749819095</v>
      </c>
      <c r="E83">
        <v>78.886289641198587</v>
      </c>
      <c r="F83">
        <v>4.2533391567880976</v>
      </c>
      <c r="G83">
        <v>8.7305259574876413</v>
      </c>
      <c r="H83">
        <v>0.95524068572993293</v>
      </c>
    </row>
    <row r="84" spans="1:8" x14ac:dyDescent="0.3">
      <c r="A84">
        <f t="shared" si="0"/>
        <v>24</v>
      </c>
      <c r="B84">
        <v>21698339.580752224</v>
      </c>
      <c r="C84">
        <v>120001.05690261157</v>
      </c>
      <c r="D84">
        <v>181.86923780518669</v>
      </c>
      <c r="E84">
        <v>125.25960852326777</v>
      </c>
      <c r="F84">
        <v>0</v>
      </c>
      <c r="G84">
        <v>6.5502823412814859</v>
      </c>
      <c r="H84">
        <v>0.99048797281372913</v>
      </c>
    </row>
    <row r="85" spans="1:8" x14ac:dyDescent="0.3">
      <c r="A85">
        <f t="shared" si="0"/>
        <v>25</v>
      </c>
      <c r="B85">
        <v>16180957.896721952</v>
      </c>
      <c r="C85">
        <v>120005.6287002719</v>
      </c>
      <c r="D85">
        <v>227.91948583478469</v>
      </c>
      <c r="E85">
        <v>121.57790251328615</v>
      </c>
      <c r="F85">
        <v>1.9766931983310969</v>
      </c>
      <c r="G85">
        <v>9.4969932901913676</v>
      </c>
      <c r="H85">
        <v>0.96811484721707719</v>
      </c>
    </row>
    <row r="86" spans="1:8" x14ac:dyDescent="0.3">
      <c r="A86">
        <f t="shared" si="0"/>
        <v>26</v>
      </c>
      <c r="B86">
        <v>23081328.832759835</v>
      </c>
      <c r="C86">
        <v>119998.03822493854</v>
      </c>
      <c r="D86">
        <v>189.80652588083339</v>
      </c>
      <c r="E86">
        <v>100.7075241526118</v>
      </c>
      <c r="F86">
        <v>1.7892902731390459</v>
      </c>
      <c r="G86">
        <v>7.4178881491239919</v>
      </c>
      <c r="H86">
        <v>0.92803339587635314</v>
      </c>
    </row>
    <row r="87" spans="1:8" x14ac:dyDescent="0.3">
      <c r="A87">
        <f t="shared" si="0"/>
        <v>27</v>
      </c>
      <c r="B87">
        <v>23290173.348032705</v>
      </c>
      <c r="C87">
        <v>119999.37480477018</v>
      </c>
      <c r="D87">
        <v>185.70203930265657</v>
      </c>
      <c r="E87">
        <v>97.159975146360253</v>
      </c>
      <c r="F87">
        <v>7.7809397501945217</v>
      </c>
      <c r="G87">
        <v>8.198129783557393</v>
      </c>
      <c r="H87">
        <v>1.0566365817575276</v>
      </c>
    </row>
    <row r="88" spans="1:8" x14ac:dyDescent="0.3">
      <c r="A88">
        <f t="shared" si="0"/>
        <v>28</v>
      </c>
      <c r="B88">
        <v>26235386.758755397</v>
      </c>
      <c r="C88">
        <v>120000.92955631153</v>
      </c>
      <c r="D88">
        <v>136.86156116632165</v>
      </c>
      <c r="E88">
        <v>121.42772767780173</v>
      </c>
      <c r="F88">
        <v>4.3282913324367209</v>
      </c>
      <c r="G88">
        <v>13.362474317793492</v>
      </c>
      <c r="H88">
        <v>0.79313924721354367</v>
      </c>
    </row>
    <row r="89" spans="1:8" x14ac:dyDescent="0.3">
      <c r="A89">
        <f t="shared" si="0"/>
        <v>29</v>
      </c>
      <c r="B89">
        <v>16392569.15754009</v>
      </c>
      <c r="C89">
        <v>119999.43707776103</v>
      </c>
      <c r="D89">
        <v>255.70902744962106</v>
      </c>
      <c r="E89">
        <v>92.251208433623063</v>
      </c>
      <c r="F89">
        <v>4.6450019604414035</v>
      </c>
      <c r="G89">
        <v>6.0922132574954091</v>
      </c>
      <c r="H89">
        <v>0.97691766167070559</v>
      </c>
    </row>
    <row r="90" spans="1:8" x14ac:dyDescent="0.3">
      <c r="A90">
        <f t="shared" si="0"/>
        <v>30</v>
      </c>
      <c r="B90">
        <v>26306847.76292963</v>
      </c>
      <c r="C90">
        <v>119998.6638054114</v>
      </c>
      <c r="D90">
        <v>161.62432711396767</v>
      </c>
      <c r="E90">
        <v>101.00710857216168</v>
      </c>
      <c r="F90">
        <v>3.2178932941444467</v>
      </c>
      <c r="G90">
        <v>8.7611464040095761</v>
      </c>
      <c r="H90">
        <v>1.0294348667102102</v>
      </c>
    </row>
    <row r="91" spans="1:8" x14ac:dyDescent="0.3">
      <c r="A91">
        <f t="shared" si="0"/>
        <v>31</v>
      </c>
      <c r="B91">
        <v>24489640.981867962</v>
      </c>
      <c r="C91">
        <v>119998.48213365517</v>
      </c>
      <c r="D91">
        <v>168.81658448705932</v>
      </c>
      <c r="E91">
        <v>110.81435454355463</v>
      </c>
      <c r="F91">
        <v>5.5995995320129346</v>
      </c>
      <c r="G91">
        <v>7.1763900214423533</v>
      </c>
      <c r="H91">
        <v>1.1145502312090718</v>
      </c>
    </row>
    <row r="92" spans="1:8" x14ac:dyDescent="0.3">
      <c r="A92">
        <f t="shared" si="0"/>
        <v>32</v>
      </c>
      <c r="B92">
        <v>19169621.344226107</v>
      </c>
      <c r="C92">
        <v>119998.15517921821</v>
      </c>
      <c r="D92">
        <v>217.18127753515313</v>
      </c>
      <c r="E92">
        <v>93.804736819824939</v>
      </c>
      <c r="F92">
        <v>5.2152135352764617</v>
      </c>
      <c r="G92">
        <v>14.715814538021014</v>
      </c>
      <c r="H92">
        <v>1.0124440917649846</v>
      </c>
    </row>
    <row r="93" spans="1:8" x14ac:dyDescent="0.3">
      <c r="A93">
        <f t="shared" si="0"/>
        <v>33</v>
      </c>
      <c r="B93">
        <v>21461107.706163429</v>
      </c>
      <c r="C93">
        <v>119999.01378516194</v>
      </c>
      <c r="D93">
        <v>186.62152280682668</v>
      </c>
      <c r="E93">
        <v>114.76939517168363</v>
      </c>
      <c r="F93">
        <v>4.0203698793615148</v>
      </c>
      <c r="G93">
        <v>11.72641413246477</v>
      </c>
      <c r="H93">
        <v>0.6979556819545647</v>
      </c>
    </row>
    <row r="94" spans="1:8" x14ac:dyDescent="0.3">
      <c r="A94">
        <f t="shared" si="0"/>
        <v>34</v>
      </c>
      <c r="B94">
        <v>18521165.83494284</v>
      </c>
      <c r="C94">
        <v>119992.72465964616</v>
      </c>
      <c r="D94">
        <v>207.85148386702579</v>
      </c>
      <c r="E94">
        <v>120.26935561669411</v>
      </c>
      <c r="F94">
        <v>4.569821621388404</v>
      </c>
      <c r="G94">
        <v>10.417121726616301</v>
      </c>
      <c r="H94">
        <v>0.99619037507066488</v>
      </c>
    </row>
    <row r="95" spans="1:8" x14ac:dyDescent="0.3">
      <c r="A95">
        <f t="shared" si="0"/>
        <v>35</v>
      </c>
      <c r="B95">
        <v>16354702.664677523</v>
      </c>
      <c r="C95">
        <v>119998.49032297896</v>
      </c>
      <c r="D95">
        <v>233.19055627170371</v>
      </c>
      <c r="E95">
        <v>114.47588684850703</v>
      </c>
      <c r="F95">
        <v>1.9497104978040039</v>
      </c>
      <c r="G95">
        <v>8.1880626941810402</v>
      </c>
      <c r="H95">
        <v>0.97562190297908513</v>
      </c>
    </row>
    <row r="96" spans="1:8" x14ac:dyDescent="0.3">
      <c r="A96">
        <f t="shared" si="0"/>
        <v>36</v>
      </c>
      <c r="B96">
        <v>16745869.403317451</v>
      </c>
      <c r="C96">
        <v>119998.63964135728</v>
      </c>
      <c r="D96">
        <v>196.81841754156352</v>
      </c>
      <c r="E96">
        <v>149.57504799995013</v>
      </c>
      <c r="F96">
        <v>6.3544315848851971</v>
      </c>
      <c r="G96">
        <v>2.9487642028404126</v>
      </c>
      <c r="H96">
        <v>0.90880854349623619</v>
      </c>
    </row>
    <row r="97" spans="1:8" x14ac:dyDescent="0.3">
      <c r="A97">
        <f t="shared" si="0"/>
        <v>37</v>
      </c>
      <c r="B97">
        <v>29520852.422081336</v>
      </c>
      <c r="C97">
        <v>120001.61138585099</v>
      </c>
      <c r="D97">
        <v>149.35863724223753</v>
      </c>
      <c r="E97">
        <v>87.993016153832926</v>
      </c>
      <c r="F97">
        <v>0.46301386398415989</v>
      </c>
      <c r="G97">
        <v>9.5692177621595249</v>
      </c>
      <c r="H97">
        <v>1.1463906197177398</v>
      </c>
    </row>
    <row r="98" spans="1:8" x14ac:dyDescent="0.3">
      <c r="A98">
        <f t="shared" si="0"/>
        <v>38</v>
      </c>
      <c r="B98">
        <v>8333666.2959195599</v>
      </c>
      <c r="C98">
        <v>60000.716816417349</v>
      </c>
      <c r="D98">
        <v>250.37285827098191</v>
      </c>
      <c r="E98">
        <v>90.501222396793409</v>
      </c>
      <c r="F98">
        <v>3.7096914380800712</v>
      </c>
      <c r="G98">
        <v>9.9824260451191567</v>
      </c>
      <c r="H98">
        <v>1.0495749629992837</v>
      </c>
    </row>
    <row r="99" spans="1:8" x14ac:dyDescent="0.3">
      <c r="A99">
        <f t="shared" si="0"/>
        <v>39</v>
      </c>
      <c r="B99">
        <v>22969416.728872649</v>
      </c>
      <c r="C99">
        <v>120000.30169686109</v>
      </c>
      <c r="D99">
        <v>185.22937038212891</v>
      </c>
      <c r="E99">
        <v>105.98151068715167</v>
      </c>
      <c r="F99">
        <v>4.0126281621433737</v>
      </c>
      <c r="G99">
        <v>8.1588602440376086</v>
      </c>
      <c r="H99">
        <v>0.99078628616105635</v>
      </c>
    </row>
    <row r="100" spans="1:8" x14ac:dyDescent="0.3">
      <c r="A100">
        <f t="shared" si="0"/>
        <v>40</v>
      </c>
      <c r="B100">
        <v>19278978.879847154</v>
      </c>
      <c r="C100">
        <v>120003.52287629634</v>
      </c>
      <c r="D100">
        <v>212.67529729779011</v>
      </c>
      <c r="E100">
        <v>111.34859364709035</v>
      </c>
      <c r="F100">
        <v>5.2266893948314523</v>
      </c>
      <c r="G100">
        <v>2.3447460116531493</v>
      </c>
      <c r="H100">
        <v>1.1573338386078458</v>
      </c>
    </row>
    <row r="101" spans="1:8" x14ac:dyDescent="0.3">
      <c r="A101">
        <f t="shared" si="0"/>
        <v>41</v>
      </c>
      <c r="B101">
        <v>17660367.487873547</v>
      </c>
      <c r="C101">
        <v>119994.80143686941</v>
      </c>
      <c r="D101">
        <v>208.664720620861</v>
      </c>
      <c r="E101">
        <v>121.19085867117347</v>
      </c>
      <c r="F101">
        <v>5.3747321610153982</v>
      </c>
      <c r="G101">
        <v>10.69903322665572</v>
      </c>
      <c r="H101">
        <v>0.93293142016410724</v>
      </c>
    </row>
    <row r="102" spans="1:8" x14ac:dyDescent="0.3">
      <c r="A102">
        <f t="shared" si="0"/>
        <v>42</v>
      </c>
      <c r="B102">
        <v>24123697.536946233</v>
      </c>
      <c r="C102">
        <v>120001.38288633041</v>
      </c>
      <c r="D102">
        <v>185.28746265577348</v>
      </c>
      <c r="E102">
        <v>89.316165594286474</v>
      </c>
      <c r="F102">
        <v>5.4359719397266826</v>
      </c>
      <c r="G102">
        <v>8.197957383112529</v>
      </c>
      <c r="H102">
        <v>0.89805829555275163</v>
      </c>
    </row>
    <row r="103" spans="1:8" x14ac:dyDescent="0.3">
      <c r="A103">
        <f t="shared" si="0"/>
        <v>43</v>
      </c>
      <c r="B103">
        <v>16874837.441465206</v>
      </c>
      <c r="C103">
        <v>120004.49428153368</v>
      </c>
      <c r="D103">
        <v>207.01800766205531</v>
      </c>
      <c r="E103">
        <v>126.40695113104894</v>
      </c>
      <c r="F103">
        <v>6.6779815093981121</v>
      </c>
      <c r="G103">
        <v>12.999524914986832</v>
      </c>
      <c r="H103">
        <v>1.0365639208592725</v>
      </c>
    </row>
    <row r="104" spans="1:8" x14ac:dyDescent="0.3">
      <c r="A104">
        <f t="shared" si="0"/>
        <v>44</v>
      </c>
      <c r="B104">
        <v>28937705.708309308</v>
      </c>
      <c r="C104">
        <v>120003.24911803342</v>
      </c>
      <c r="D104">
        <v>148.22787444362189</v>
      </c>
      <c r="E104">
        <v>89.86321517685559</v>
      </c>
      <c r="F104">
        <v>2.3152790322459627</v>
      </c>
      <c r="G104">
        <v>10.295007580487239</v>
      </c>
      <c r="H104">
        <v>0.98706046281955373</v>
      </c>
    </row>
    <row r="105" spans="1:8" x14ac:dyDescent="0.3">
      <c r="A105">
        <f t="shared" si="0"/>
        <v>45</v>
      </c>
      <c r="B105">
        <v>23788455.306597948</v>
      </c>
      <c r="C105">
        <v>120001.19789410732</v>
      </c>
      <c r="D105">
        <v>166.53769426562943</v>
      </c>
      <c r="E105">
        <v>107.79796258953127</v>
      </c>
      <c r="F105">
        <v>4.1781749969042608</v>
      </c>
      <c r="G105">
        <v>14.222239061059337</v>
      </c>
      <c r="H105">
        <v>0.80141179888273339</v>
      </c>
    </row>
    <row r="106" spans="1:8" x14ac:dyDescent="0.3">
      <c r="A106">
        <f t="shared" si="0"/>
        <v>46</v>
      </c>
      <c r="B106">
        <v>29922494.347922686</v>
      </c>
      <c r="C106">
        <v>119998.19096621982</v>
      </c>
      <c r="D106">
        <v>168.78512758886905</v>
      </c>
      <c r="E106">
        <v>56.776848079929294</v>
      </c>
      <c r="F106">
        <v>5.6724649285174715</v>
      </c>
      <c r="G106">
        <v>4.9950467426567364</v>
      </c>
      <c r="H106">
        <v>1.1402401953060319</v>
      </c>
    </row>
    <row r="107" spans="1:8" x14ac:dyDescent="0.3">
      <c r="A107">
        <f t="shared" si="0"/>
        <v>47</v>
      </c>
      <c r="B107">
        <v>21050179.994001858</v>
      </c>
      <c r="C107">
        <v>119998.51416242485</v>
      </c>
      <c r="D107">
        <v>198.55282386284972</v>
      </c>
      <c r="E107">
        <v>94.338065210364817</v>
      </c>
      <c r="F107">
        <v>7.2417048082000779</v>
      </c>
      <c r="G107">
        <v>15.818972004637017</v>
      </c>
      <c r="H107">
        <v>0.97812566410089774</v>
      </c>
    </row>
    <row r="108" spans="1:8" x14ac:dyDescent="0.3">
      <c r="A108">
        <f t="shared" si="0"/>
        <v>48</v>
      </c>
      <c r="B108">
        <v>20688020.945286199</v>
      </c>
      <c r="C108">
        <v>119998.4878589242</v>
      </c>
      <c r="D108">
        <v>222.09063075886817</v>
      </c>
      <c r="E108">
        <v>83.479141580217515</v>
      </c>
      <c r="F108">
        <v>5.4510849243650457</v>
      </c>
      <c r="G108">
        <v>7.6489385863507149</v>
      </c>
      <c r="H108">
        <v>0.92320935391603109</v>
      </c>
    </row>
    <row r="109" spans="1:8" x14ac:dyDescent="0.3">
      <c r="A109">
        <f t="shared" si="0"/>
        <v>49</v>
      </c>
      <c r="B109">
        <v>19282680.25198371</v>
      </c>
      <c r="C109">
        <v>120004.87907687172</v>
      </c>
      <c r="D109">
        <v>231.35987470064714</v>
      </c>
      <c r="E109">
        <v>90.933274947003227</v>
      </c>
      <c r="F109">
        <v>4.1096821707999922</v>
      </c>
      <c r="G109">
        <v>7.4246516261897888</v>
      </c>
      <c r="H109">
        <v>1.0592459753232983</v>
      </c>
    </row>
    <row r="110" spans="1:8" x14ac:dyDescent="0.3">
      <c r="A110">
        <f t="shared" si="0"/>
        <v>50</v>
      </c>
      <c r="B110">
        <v>16387600.503449321</v>
      </c>
      <c r="C110">
        <v>119998.37217261789</v>
      </c>
      <c r="D110">
        <v>246.22973386188104</v>
      </c>
      <c r="E110">
        <v>99.165022171386141</v>
      </c>
      <c r="F110">
        <v>8.0741311820125006</v>
      </c>
      <c r="G110">
        <v>6.869007883221137</v>
      </c>
      <c r="H110">
        <v>1.0789580672502199</v>
      </c>
    </row>
    <row r="111" spans="1:8" x14ac:dyDescent="0.3">
      <c r="A111">
        <f t="shared" si="0"/>
        <v>51</v>
      </c>
      <c r="B111">
        <v>23179620.70884046</v>
      </c>
      <c r="C111">
        <v>120010.84345964745</v>
      </c>
      <c r="D111">
        <v>167.47885769086082</v>
      </c>
      <c r="E111">
        <v>116.79017179339671</v>
      </c>
      <c r="F111">
        <v>4.7684662171641881</v>
      </c>
      <c r="G111">
        <v>9.9772593903182578</v>
      </c>
      <c r="H111">
        <v>0.93986473006168669</v>
      </c>
    </row>
    <row r="112" spans="1:8" x14ac:dyDescent="0.3">
      <c r="A112">
        <f t="shared" si="0"/>
        <v>52</v>
      </c>
      <c r="B112">
        <v>20135833.509554371</v>
      </c>
      <c r="C112">
        <v>120004.82515639198</v>
      </c>
      <c r="D112">
        <v>217.20077121838077</v>
      </c>
      <c r="E112">
        <v>89.478967365028154</v>
      </c>
      <c r="F112">
        <v>5.4068648905579222</v>
      </c>
      <c r="G112">
        <v>14.177783401801644</v>
      </c>
      <c r="H112">
        <v>0.92449237074682</v>
      </c>
    </row>
    <row r="113" spans="1:8" x14ac:dyDescent="0.3">
      <c r="A113">
        <f t="shared" si="0"/>
        <v>53</v>
      </c>
      <c r="B113">
        <v>15447711.091375545</v>
      </c>
      <c r="C113">
        <v>119993.96293363583</v>
      </c>
      <c r="D113">
        <v>247.70383781992015</v>
      </c>
      <c r="E113">
        <v>105.18316592871652</v>
      </c>
      <c r="F113">
        <v>3.2551020456037727</v>
      </c>
      <c r="G113">
        <v>7.5499903490690841</v>
      </c>
      <c r="H113">
        <v>1.0754217429676229</v>
      </c>
    </row>
    <row r="114" spans="1:8" x14ac:dyDescent="0.3">
      <c r="A114">
        <f t="shared" si="0"/>
        <v>54</v>
      </c>
      <c r="B114">
        <v>18838138.760750189</v>
      </c>
      <c r="C114">
        <v>120004.39271879281</v>
      </c>
      <c r="D114">
        <v>220.64936967837957</v>
      </c>
      <c r="E114">
        <v>111.14721567130852</v>
      </c>
      <c r="F114">
        <v>0</v>
      </c>
      <c r="G114">
        <v>3.5118923770878823</v>
      </c>
      <c r="H114">
        <v>1.099666212878653</v>
      </c>
    </row>
    <row r="115" spans="1:8" x14ac:dyDescent="0.3">
      <c r="A115">
        <f t="shared" si="0"/>
        <v>55</v>
      </c>
      <c r="B115">
        <v>20558175.633376524</v>
      </c>
      <c r="C115">
        <v>120006.67372781046</v>
      </c>
      <c r="D115">
        <v>216.91195376810111</v>
      </c>
      <c r="E115">
        <v>91.896076113142726</v>
      </c>
      <c r="F115">
        <v>3.8041546348642612</v>
      </c>
      <c r="G115">
        <v>8.0168157166214833</v>
      </c>
      <c r="H115">
        <v>0.91241909301864055</v>
      </c>
    </row>
    <row r="116" spans="1:8" x14ac:dyDescent="0.3">
      <c r="A116">
        <f t="shared" si="0"/>
        <v>56</v>
      </c>
      <c r="B116">
        <v>22208252.450835168</v>
      </c>
      <c r="C116">
        <v>120002.66450807705</v>
      </c>
      <c r="D116">
        <v>179.28807264855462</v>
      </c>
      <c r="E116">
        <v>123.30922395873939</v>
      </c>
      <c r="F116">
        <v>3.8659738552800196</v>
      </c>
      <c r="G116">
        <v>3.7855984490308039</v>
      </c>
      <c r="H116">
        <v>1.112157736985578</v>
      </c>
    </row>
    <row r="117" spans="1:8" x14ac:dyDescent="0.3">
      <c r="A117">
        <f t="shared" si="0"/>
        <v>57</v>
      </c>
      <c r="B117">
        <v>11371438.871992275</v>
      </c>
      <c r="C117">
        <v>120002.10747600967</v>
      </c>
      <c r="D117">
        <v>248.3336566894755</v>
      </c>
      <c r="E117">
        <v>135.10952855405608</v>
      </c>
      <c r="F117">
        <v>3.7602120541645254</v>
      </c>
      <c r="G117">
        <v>14.578663329016074</v>
      </c>
      <c r="H117">
        <v>1.061371168378034</v>
      </c>
    </row>
    <row r="118" spans="1:8" x14ac:dyDescent="0.3">
      <c r="A118">
        <f t="shared" si="0"/>
        <v>58</v>
      </c>
      <c r="B118">
        <v>26510902.417755246</v>
      </c>
      <c r="C118">
        <v>120007.49824659694</v>
      </c>
      <c r="D118">
        <v>159.65231088387722</v>
      </c>
      <c r="E118">
        <v>89.136416574476414</v>
      </c>
      <c r="F118">
        <v>3.1691795018952709</v>
      </c>
      <c r="G118">
        <v>17.765119409672785</v>
      </c>
      <c r="H118">
        <v>0.92598277429949261</v>
      </c>
    </row>
    <row r="119" spans="1:8" x14ac:dyDescent="0.3">
      <c r="A119">
        <f t="shared" si="0"/>
        <v>59</v>
      </c>
      <c r="B119">
        <v>18698385.726703994</v>
      </c>
      <c r="C119">
        <v>120003.71306653367</v>
      </c>
      <c r="D119">
        <v>224.0045187662538</v>
      </c>
      <c r="E119">
        <v>92.994733366713774</v>
      </c>
      <c r="F119">
        <v>7.147048643796035</v>
      </c>
      <c r="G119">
        <v>12.721845422479159</v>
      </c>
      <c r="H119">
        <v>0.89992511592910984</v>
      </c>
    </row>
    <row r="120" spans="1:8" x14ac:dyDescent="0.3">
      <c r="A120">
        <f t="shared" si="0"/>
        <v>60</v>
      </c>
      <c r="B120">
        <v>17194730.989018388</v>
      </c>
      <c r="C120">
        <v>120003.47243709974</v>
      </c>
      <c r="D120">
        <v>229.92988992806653</v>
      </c>
      <c r="E120">
        <v>105.51485121975189</v>
      </c>
      <c r="F120">
        <v>1.8517611354245056</v>
      </c>
      <c r="G120">
        <v>11.186403617465036</v>
      </c>
      <c r="H120">
        <v>1.1229468156867932</v>
      </c>
    </row>
    <row r="121" spans="1:8" x14ac:dyDescent="0.3">
      <c r="A121">
        <f t="shared" si="0"/>
        <v>61</v>
      </c>
      <c r="B121">
        <v>19195125.714288406</v>
      </c>
      <c r="C121">
        <v>120002.18031184636</v>
      </c>
      <c r="D121">
        <v>229.82411396651764</v>
      </c>
      <c r="E121">
        <v>83.441296170570212</v>
      </c>
      <c r="F121">
        <v>5.9530190355375483</v>
      </c>
      <c r="G121">
        <v>14.656507337508035</v>
      </c>
      <c r="H121">
        <v>1.108974622697011</v>
      </c>
    </row>
    <row r="122" spans="1:8" x14ac:dyDescent="0.3">
      <c r="A122">
        <f t="shared" si="0"/>
        <v>62</v>
      </c>
      <c r="B122">
        <v>22375948.959504314</v>
      </c>
      <c r="C122">
        <v>120005.00866227467</v>
      </c>
      <c r="D122">
        <v>195.70103664385704</v>
      </c>
      <c r="E122">
        <v>85.804876650748838</v>
      </c>
      <c r="F122">
        <v>4.4434888768272343</v>
      </c>
      <c r="G122">
        <v>17.900664048837953</v>
      </c>
      <c r="H122">
        <v>0.87316825141673193</v>
      </c>
    </row>
    <row r="123" spans="1:8" x14ac:dyDescent="0.3">
      <c r="A123">
        <f t="shared" si="0"/>
        <v>63</v>
      </c>
      <c r="B123">
        <v>26905956.512607813</v>
      </c>
      <c r="C123">
        <v>120002.10299925655</v>
      </c>
      <c r="D123">
        <v>190.02113519794236</v>
      </c>
      <c r="E123">
        <v>66.451979138354716</v>
      </c>
      <c r="F123">
        <v>4.0827615647862618</v>
      </c>
      <c r="G123">
        <v>3.1167075860286033</v>
      </c>
      <c r="H123">
        <v>1.0470074575902835</v>
      </c>
    </row>
    <row r="124" spans="1:8" x14ac:dyDescent="0.3">
      <c r="A124">
        <f t="shared" si="0"/>
        <v>64</v>
      </c>
      <c r="B124">
        <v>21796873.727037922</v>
      </c>
      <c r="C124">
        <v>120003.81983768157</v>
      </c>
      <c r="D124">
        <v>209.77042173771537</v>
      </c>
      <c r="E124">
        <v>82.134340494999464</v>
      </c>
      <c r="F124">
        <v>7.4095185070688299</v>
      </c>
      <c r="G124">
        <v>15.551258030555079</v>
      </c>
      <c r="H124">
        <v>1.0000113914510904</v>
      </c>
    </row>
    <row r="125" spans="1:8" x14ac:dyDescent="0.3">
      <c r="A125">
        <f t="shared" si="0"/>
        <v>65</v>
      </c>
      <c r="B125">
        <v>16544736.11727237</v>
      </c>
      <c r="C125">
        <v>120002.26312783497</v>
      </c>
      <c r="D125">
        <v>238.06795177795158</v>
      </c>
      <c r="E125">
        <v>108.16319386665693</v>
      </c>
      <c r="F125">
        <v>2.4303426867670788</v>
      </c>
      <c r="G125">
        <v>7.9958810710995536</v>
      </c>
      <c r="H125">
        <v>1.0441146578691796</v>
      </c>
    </row>
    <row r="126" spans="1:8" x14ac:dyDescent="0.3">
      <c r="A126">
        <f t="shared" si="0"/>
        <v>66</v>
      </c>
      <c r="B126">
        <v>21037549.317370698</v>
      </c>
      <c r="C126">
        <v>120002.84913676177</v>
      </c>
      <c r="D126">
        <v>193.61758874312918</v>
      </c>
      <c r="E126">
        <v>112.51608189836787</v>
      </c>
      <c r="F126">
        <v>6.5105246443991618</v>
      </c>
      <c r="G126">
        <v>6.7965142208831049</v>
      </c>
      <c r="H126">
        <v>1.0417441731175061</v>
      </c>
    </row>
    <row r="127" spans="1:8" x14ac:dyDescent="0.3">
      <c r="A127">
        <f t="shared" ref="A127:A190" si="1">A126+1</f>
        <v>67</v>
      </c>
      <c r="B127">
        <v>18133778.637399971</v>
      </c>
      <c r="C127">
        <v>119995.4295074448</v>
      </c>
      <c r="D127">
        <v>227.61906661530068</v>
      </c>
      <c r="E127">
        <v>98.696089024696235</v>
      </c>
      <c r="F127">
        <v>6.1400219454115748</v>
      </c>
      <c r="G127">
        <v>11.656964881918174</v>
      </c>
      <c r="H127">
        <v>0.98837904684055089</v>
      </c>
    </row>
    <row r="128" spans="1:8" x14ac:dyDescent="0.3">
      <c r="A128">
        <f t="shared" si="1"/>
        <v>68</v>
      </c>
      <c r="B128">
        <v>23398236.835745715</v>
      </c>
      <c r="C128">
        <v>119999.14207195841</v>
      </c>
      <c r="D128">
        <v>180.06892060404155</v>
      </c>
      <c r="E128">
        <v>106.50766374604791</v>
      </c>
      <c r="F128">
        <v>4.8313795106684481</v>
      </c>
      <c r="G128">
        <v>5.7316621840729756</v>
      </c>
      <c r="H128">
        <v>1.0016789399903134</v>
      </c>
    </row>
    <row r="129" spans="1:8" x14ac:dyDescent="0.3">
      <c r="A129">
        <f t="shared" si="1"/>
        <v>69</v>
      </c>
      <c r="B129">
        <v>20630952.116097838</v>
      </c>
      <c r="C129">
        <v>120000.49868155058</v>
      </c>
      <c r="D129">
        <v>175.20036320317425</v>
      </c>
      <c r="E129">
        <v>130.75569739109719</v>
      </c>
      <c r="F129">
        <v>2.8795255839795941</v>
      </c>
      <c r="G129">
        <v>15.042418837601396</v>
      </c>
      <c r="H129">
        <v>0.85966415323950418</v>
      </c>
    </row>
    <row r="130" spans="1:8" x14ac:dyDescent="0.3">
      <c r="A130">
        <f t="shared" si="1"/>
        <v>70</v>
      </c>
      <c r="B130">
        <v>24343842.351530574</v>
      </c>
      <c r="C130">
        <v>119997.82197747029</v>
      </c>
      <c r="D130">
        <v>179.13287621392195</v>
      </c>
      <c r="E130">
        <v>101.15708901339491</v>
      </c>
      <c r="F130">
        <v>5.676181664474627</v>
      </c>
      <c r="G130">
        <v>7.2811363324693206</v>
      </c>
      <c r="H130">
        <v>0.90678688008040598</v>
      </c>
    </row>
    <row r="131" spans="1:8" x14ac:dyDescent="0.3">
      <c r="A131">
        <f t="shared" si="1"/>
        <v>71</v>
      </c>
      <c r="B131">
        <v>23545513.812850736</v>
      </c>
      <c r="C131">
        <v>120003.33713197382</v>
      </c>
      <c r="D131">
        <v>174.67608500578584</v>
      </c>
      <c r="E131">
        <v>112.60427860053447</v>
      </c>
      <c r="F131">
        <v>1.7693698962557125</v>
      </c>
      <c r="G131">
        <v>11.840119960950865</v>
      </c>
      <c r="H131">
        <v>1.0385523023285166</v>
      </c>
    </row>
    <row r="132" spans="1:8" x14ac:dyDescent="0.3">
      <c r="A132">
        <f t="shared" si="1"/>
        <v>72</v>
      </c>
      <c r="B132">
        <v>28419916.287580822</v>
      </c>
      <c r="C132">
        <v>120003.82449907779</v>
      </c>
      <c r="D132">
        <v>145.51166796799959</v>
      </c>
      <c r="E132">
        <v>90.706247459698602</v>
      </c>
      <c r="F132">
        <v>6.5399737852289803</v>
      </c>
      <c r="G132">
        <v>8.703480200537749</v>
      </c>
      <c r="H132">
        <v>1.1757052984285357</v>
      </c>
    </row>
    <row r="133" spans="1:8" x14ac:dyDescent="0.3">
      <c r="A133">
        <f t="shared" si="1"/>
        <v>73</v>
      </c>
      <c r="B133">
        <v>15801546.100885056</v>
      </c>
      <c r="C133">
        <v>120003.94466949663</v>
      </c>
      <c r="D133">
        <v>241.9683974801317</v>
      </c>
      <c r="E133">
        <v>110.14429736751228</v>
      </c>
      <c r="F133">
        <v>6.4282134026074083</v>
      </c>
      <c r="G133">
        <v>7.0639137244819175</v>
      </c>
      <c r="H133">
        <v>1.0379627738302366</v>
      </c>
    </row>
    <row r="134" spans="1:8" x14ac:dyDescent="0.3">
      <c r="A134">
        <f t="shared" si="1"/>
        <v>74</v>
      </c>
      <c r="B134">
        <v>24772386.453184761</v>
      </c>
      <c r="C134">
        <v>119995.83194381522</v>
      </c>
      <c r="D134">
        <v>172.78166034091939</v>
      </c>
      <c r="E134">
        <v>98.295262149523666</v>
      </c>
      <c r="F134">
        <v>6.3356566061218516</v>
      </c>
      <c r="G134">
        <v>6.6699507819690274</v>
      </c>
      <c r="H134">
        <v>0.92888700915453981</v>
      </c>
    </row>
    <row r="135" spans="1:8" x14ac:dyDescent="0.3">
      <c r="A135">
        <f t="shared" si="1"/>
        <v>75</v>
      </c>
      <c r="B135">
        <v>24839784.276507013</v>
      </c>
      <c r="C135">
        <v>119997.00184491629</v>
      </c>
      <c r="D135">
        <v>168.56741525976952</v>
      </c>
      <c r="E135">
        <v>99.880751822758114</v>
      </c>
      <c r="F135">
        <v>6.073043639204581</v>
      </c>
      <c r="G135">
        <v>12.78959708833187</v>
      </c>
      <c r="H135">
        <v>1.0252359711000703</v>
      </c>
    </row>
    <row r="136" spans="1:8" x14ac:dyDescent="0.3">
      <c r="A136">
        <f t="shared" si="1"/>
        <v>76</v>
      </c>
      <c r="B136">
        <v>31170019.108658563</v>
      </c>
      <c r="C136">
        <v>120002.82903763682</v>
      </c>
      <c r="D136">
        <v>179.95799403833576</v>
      </c>
      <c r="E136">
        <v>38.077130087056744</v>
      </c>
      <c r="F136">
        <v>6.8781835410831489</v>
      </c>
      <c r="G136">
        <v>10.65513550547162</v>
      </c>
      <c r="H136">
        <v>0.93324857607042089</v>
      </c>
    </row>
    <row r="137" spans="1:8" x14ac:dyDescent="0.3">
      <c r="A137">
        <f t="shared" si="1"/>
        <v>77</v>
      </c>
      <c r="B137">
        <v>6519929.4483343959</v>
      </c>
      <c r="C137">
        <v>59998.107827130305</v>
      </c>
      <c r="D137">
        <v>242.79120925022943</v>
      </c>
      <c r="E137">
        <v>129.04979277442092</v>
      </c>
      <c r="F137">
        <v>4.4582871021584909</v>
      </c>
      <c r="G137">
        <v>11.421099889432682</v>
      </c>
      <c r="H137">
        <v>1.1753700244652225</v>
      </c>
    </row>
    <row r="138" spans="1:8" x14ac:dyDescent="0.3">
      <c r="A138">
        <f t="shared" si="1"/>
        <v>78</v>
      </c>
      <c r="B138">
        <v>19718542.026051089</v>
      </c>
      <c r="C138">
        <v>119995.652044156</v>
      </c>
      <c r="D138">
        <v>227.51088839399537</v>
      </c>
      <c r="E138">
        <v>84.295007982178888</v>
      </c>
      <c r="F138">
        <v>7.7953837763630052</v>
      </c>
      <c r="G138">
        <v>11.740376026050026</v>
      </c>
      <c r="H138">
        <v>0.93329993409017764</v>
      </c>
    </row>
    <row r="139" spans="1:8" x14ac:dyDescent="0.3">
      <c r="A139">
        <f t="shared" si="1"/>
        <v>79</v>
      </c>
      <c r="B139">
        <v>29929316.873763505</v>
      </c>
      <c r="C139">
        <v>119997.56223921142</v>
      </c>
      <c r="D139">
        <v>120.53286772754343</v>
      </c>
      <c r="E139">
        <v>111.37917005383289</v>
      </c>
      <c r="F139">
        <v>6.0435408986130241</v>
      </c>
      <c r="G139">
        <v>8.4383618773208795</v>
      </c>
      <c r="H139">
        <v>0.81753831467183868</v>
      </c>
    </row>
    <row r="140" spans="1:8" x14ac:dyDescent="0.3">
      <c r="A140">
        <f t="shared" si="1"/>
        <v>80</v>
      </c>
      <c r="B140">
        <v>24417552.469655186</v>
      </c>
      <c r="C140">
        <v>119997.05197433311</v>
      </c>
      <c r="D140">
        <v>177.56701400979694</v>
      </c>
      <c r="E140">
        <v>83.524326451268564</v>
      </c>
      <c r="F140">
        <v>8.6937066963386354</v>
      </c>
      <c r="G140">
        <v>15.402103284462468</v>
      </c>
      <c r="H140">
        <v>1.1150866959544365</v>
      </c>
    </row>
    <row r="141" spans="1:8" x14ac:dyDescent="0.3">
      <c r="A141">
        <f t="shared" si="1"/>
        <v>81</v>
      </c>
      <c r="B141">
        <v>16586018.234641135</v>
      </c>
      <c r="C141">
        <v>119996.35393204119</v>
      </c>
      <c r="D141">
        <v>254.33896499761636</v>
      </c>
      <c r="E141">
        <v>89.881461584000348</v>
      </c>
      <c r="F141">
        <v>6.7366114389399696</v>
      </c>
      <c r="G141">
        <v>7.3560181287538899</v>
      </c>
      <c r="H141">
        <v>1.1326525384804984</v>
      </c>
    </row>
    <row r="142" spans="1:8" x14ac:dyDescent="0.3">
      <c r="A142">
        <f t="shared" si="1"/>
        <v>82</v>
      </c>
      <c r="B142">
        <v>29842050.300260451</v>
      </c>
      <c r="C142">
        <v>120001.96728542779</v>
      </c>
      <c r="D142">
        <v>151.93187382797552</v>
      </c>
      <c r="E142">
        <v>73.857298497727982</v>
      </c>
      <c r="F142">
        <v>4.3835212698579618</v>
      </c>
      <c r="G142">
        <v>8.980471052715302</v>
      </c>
      <c r="H142">
        <v>0.83316065379554594</v>
      </c>
    </row>
    <row r="143" spans="1:8" x14ac:dyDescent="0.3">
      <c r="A143">
        <f t="shared" si="1"/>
        <v>83</v>
      </c>
      <c r="B143">
        <v>25150445.254523382</v>
      </c>
      <c r="C143">
        <v>119998.07676296192</v>
      </c>
      <c r="D143">
        <v>157.96842430698331</v>
      </c>
      <c r="E143">
        <v>104.97918686632742</v>
      </c>
      <c r="F143">
        <v>10.935949502148802</v>
      </c>
      <c r="G143">
        <v>10.313180867624071</v>
      </c>
      <c r="H143">
        <v>1.0228362154706092</v>
      </c>
    </row>
    <row r="144" spans="1:8" x14ac:dyDescent="0.3">
      <c r="A144">
        <f t="shared" si="1"/>
        <v>84</v>
      </c>
      <c r="B144">
        <v>11799607.935114462</v>
      </c>
      <c r="C144">
        <v>59998.126108519653</v>
      </c>
      <c r="D144">
        <v>183.70809320950798</v>
      </c>
      <c r="E144">
        <v>94.811401380666837</v>
      </c>
      <c r="F144">
        <v>5.5903041465105767</v>
      </c>
      <c r="G144">
        <v>14.99810247963023</v>
      </c>
      <c r="H144">
        <v>0.87591261005223564</v>
      </c>
    </row>
    <row r="145" spans="1:8" x14ac:dyDescent="0.3">
      <c r="A145">
        <f t="shared" si="1"/>
        <v>85</v>
      </c>
      <c r="B145">
        <v>26045737.740483824</v>
      </c>
      <c r="C145">
        <v>120001.39156973449</v>
      </c>
      <c r="D145">
        <v>132.85083072504986</v>
      </c>
      <c r="E145">
        <v>125.3112068818356</v>
      </c>
      <c r="F145">
        <v>5.4255979677966897</v>
      </c>
      <c r="G145">
        <v>8.986173576727289</v>
      </c>
      <c r="H145">
        <v>0.89073046841032288</v>
      </c>
    </row>
    <row r="146" spans="1:8" x14ac:dyDescent="0.3">
      <c r="A146">
        <f t="shared" si="1"/>
        <v>86</v>
      </c>
      <c r="B146">
        <v>15494353.576136082</v>
      </c>
      <c r="C146">
        <v>119996.50117689889</v>
      </c>
      <c r="D146">
        <v>241.30566764983831</v>
      </c>
      <c r="E146">
        <v>103.2472396491237</v>
      </c>
      <c r="F146">
        <v>5.9145384079376155</v>
      </c>
      <c r="G146">
        <v>13.378124571796613</v>
      </c>
      <c r="H146">
        <v>1.055848148021908</v>
      </c>
    </row>
    <row r="147" spans="1:8" x14ac:dyDescent="0.3">
      <c r="A147">
        <f t="shared" si="1"/>
        <v>87</v>
      </c>
      <c r="B147">
        <v>22605296.931642018</v>
      </c>
      <c r="C147">
        <v>120006.3319576799</v>
      </c>
      <c r="D147">
        <v>162.45529558492728</v>
      </c>
      <c r="E147">
        <v>130.20450963768496</v>
      </c>
      <c r="F147">
        <v>5.2215892052124815</v>
      </c>
      <c r="G147">
        <v>5.9448122656141686</v>
      </c>
      <c r="H147">
        <v>0.99113639812628462</v>
      </c>
    </row>
    <row r="148" spans="1:8" x14ac:dyDescent="0.3">
      <c r="A148">
        <f t="shared" si="1"/>
        <v>88</v>
      </c>
      <c r="B148">
        <v>21814320.928695969</v>
      </c>
      <c r="C148">
        <v>120001.34669341973</v>
      </c>
      <c r="D148">
        <v>197.36530442273514</v>
      </c>
      <c r="E148">
        <v>98.231266003167477</v>
      </c>
      <c r="F148">
        <v>5.3130276282399347</v>
      </c>
      <c r="G148">
        <v>9.8864397071505241</v>
      </c>
      <c r="H148">
        <v>1.0682574438065378</v>
      </c>
    </row>
    <row r="149" spans="1:8" x14ac:dyDescent="0.3">
      <c r="A149">
        <f t="shared" si="1"/>
        <v>89</v>
      </c>
      <c r="B149">
        <v>16433799.473714173</v>
      </c>
      <c r="C149">
        <v>119995.87189906999</v>
      </c>
      <c r="D149">
        <v>256.60792129712604</v>
      </c>
      <c r="E149">
        <v>87.693684437150438</v>
      </c>
      <c r="F149">
        <v>6.6184344317924122</v>
      </c>
      <c r="G149">
        <v>4.2613575608519074</v>
      </c>
      <c r="H149">
        <v>1.155464556210301</v>
      </c>
    </row>
    <row r="150" spans="1:8" x14ac:dyDescent="0.3">
      <c r="A150">
        <f t="shared" si="1"/>
        <v>90</v>
      </c>
      <c r="B150">
        <v>20345278.07504639</v>
      </c>
      <c r="C150">
        <v>120001.26293125444</v>
      </c>
      <c r="D150">
        <v>197.03901675674621</v>
      </c>
      <c r="E150">
        <v>115.11158319618359</v>
      </c>
      <c r="F150">
        <v>5.4872383933420057</v>
      </c>
      <c r="G150">
        <v>5.8060779636532835</v>
      </c>
      <c r="H150">
        <v>1.1158612502248488</v>
      </c>
    </row>
    <row r="151" spans="1:8" x14ac:dyDescent="0.3">
      <c r="A151">
        <f t="shared" si="1"/>
        <v>91</v>
      </c>
      <c r="B151">
        <v>18457943.350296356</v>
      </c>
      <c r="C151">
        <v>119999.29701296624</v>
      </c>
      <c r="D151">
        <v>221.29613503495665</v>
      </c>
      <c r="E151">
        <v>99.904000168613649</v>
      </c>
      <c r="F151">
        <v>5.5940690891962097</v>
      </c>
      <c r="G151">
        <v>14.884311311254292</v>
      </c>
      <c r="H151">
        <v>1.118222736580337</v>
      </c>
    </row>
    <row r="152" spans="1:8" x14ac:dyDescent="0.3">
      <c r="A152">
        <f t="shared" si="1"/>
        <v>92</v>
      </c>
      <c r="B152">
        <v>22799542.668603882</v>
      </c>
      <c r="C152">
        <v>119996.36634840962</v>
      </c>
      <c r="D152">
        <v>171.60122148928244</v>
      </c>
      <c r="E152">
        <v>115.65908098423714</v>
      </c>
      <c r="F152">
        <v>7.3107666443289112</v>
      </c>
      <c r="G152">
        <v>10.806551241736386</v>
      </c>
      <c r="H152">
        <v>0.92283301598917011</v>
      </c>
    </row>
    <row r="153" spans="1:8" x14ac:dyDescent="0.3">
      <c r="A153">
        <f t="shared" si="1"/>
        <v>93</v>
      </c>
      <c r="B153">
        <v>33529040.506208457</v>
      </c>
      <c r="C153">
        <v>120000.48426607372</v>
      </c>
      <c r="D153">
        <v>126.82846311291637</v>
      </c>
      <c r="E153">
        <v>72.251341027408259</v>
      </c>
      <c r="F153">
        <v>4.3485521582356208</v>
      </c>
      <c r="G153">
        <v>10.778346106085754</v>
      </c>
      <c r="H153">
        <v>0.91943366613053101</v>
      </c>
    </row>
    <row r="154" spans="1:8" x14ac:dyDescent="0.3">
      <c r="A154">
        <f t="shared" si="1"/>
        <v>94</v>
      </c>
      <c r="B154">
        <v>18314169.928284362</v>
      </c>
      <c r="C154">
        <v>119996.84998822732</v>
      </c>
      <c r="D154">
        <v>219.66586166716806</v>
      </c>
      <c r="E154">
        <v>103.85714433661167</v>
      </c>
      <c r="F154">
        <v>8.1301210770117613</v>
      </c>
      <c r="G154">
        <v>8.4797689321819316</v>
      </c>
      <c r="H154">
        <v>1.0196619442049657</v>
      </c>
    </row>
    <row r="155" spans="1:8" x14ac:dyDescent="0.3">
      <c r="A155">
        <f t="shared" si="1"/>
        <v>95</v>
      </c>
      <c r="B155">
        <v>28452794.423262365</v>
      </c>
      <c r="C155">
        <v>120000.39105984212</v>
      </c>
      <c r="D155">
        <v>151.7286683112481</v>
      </c>
      <c r="E155">
        <v>85.631878405791298</v>
      </c>
      <c r="F155">
        <v>6.192413723615199</v>
      </c>
      <c r="G155">
        <v>8.262908334834858</v>
      </c>
      <c r="H155">
        <v>0.80633066170123091</v>
      </c>
    </row>
    <row r="156" spans="1:8" x14ac:dyDescent="0.3">
      <c r="A156">
        <f t="shared" si="1"/>
        <v>96</v>
      </c>
      <c r="B156">
        <v>14654946.398089612</v>
      </c>
      <c r="C156">
        <v>60000.660235756412</v>
      </c>
      <c r="D156">
        <v>108.19774157419688</v>
      </c>
      <c r="E156">
        <v>118.36679995235714</v>
      </c>
      <c r="F156">
        <v>6.9959540792177295</v>
      </c>
      <c r="G156">
        <v>10.717609968547487</v>
      </c>
      <c r="H156">
        <v>0.87604773373825073</v>
      </c>
    </row>
    <row r="157" spans="1:8" x14ac:dyDescent="0.3">
      <c r="A157">
        <f t="shared" si="1"/>
        <v>97</v>
      </c>
      <c r="B157">
        <v>23323002.678645149</v>
      </c>
      <c r="C157">
        <v>119999.99540548508</v>
      </c>
      <c r="D157">
        <v>217.24898886108545</v>
      </c>
      <c r="E157">
        <v>64.50558835143147</v>
      </c>
      <c r="F157">
        <v>8.7605744525444145</v>
      </c>
      <c r="G157">
        <v>8.651137009348032</v>
      </c>
      <c r="H157">
        <v>1.0081718625708678</v>
      </c>
    </row>
    <row r="158" spans="1:8" x14ac:dyDescent="0.3">
      <c r="A158">
        <f t="shared" si="1"/>
        <v>98</v>
      </c>
      <c r="B158">
        <v>30081233.637069348</v>
      </c>
      <c r="C158">
        <v>119998.10275383395</v>
      </c>
      <c r="D158">
        <v>125.05642735493488</v>
      </c>
      <c r="E158">
        <v>101.7288406945508</v>
      </c>
      <c r="F158">
        <v>6.2761334673339189</v>
      </c>
      <c r="G158">
        <v>5.9271049531793132</v>
      </c>
      <c r="H158">
        <v>0.92890996206713072</v>
      </c>
    </row>
    <row r="159" spans="1:8" x14ac:dyDescent="0.3">
      <c r="A159">
        <f t="shared" si="1"/>
        <v>99</v>
      </c>
      <c r="B159">
        <v>22247851.375446104</v>
      </c>
      <c r="C159">
        <v>119999.15840650497</v>
      </c>
      <c r="D159">
        <v>199.39178969018761</v>
      </c>
      <c r="E159">
        <v>93.85838489086747</v>
      </c>
      <c r="F159">
        <v>6.0716487698298138</v>
      </c>
      <c r="G159">
        <v>7.2008511567570395</v>
      </c>
      <c r="H159">
        <v>1.0766287714303449</v>
      </c>
    </row>
    <row r="160" spans="1:8" x14ac:dyDescent="0.3">
      <c r="A160">
        <f t="shared" si="1"/>
        <v>100</v>
      </c>
      <c r="B160">
        <v>8657518.9329987764</v>
      </c>
      <c r="C160">
        <v>60002.669636635597</v>
      </c>
      <c r="D160">
        <v>225.86723244547269</v>
      </c>
      <c r="E160">
        <v>112.0154558996439</v>
      </c>
      <c r="F160">
        <v>6.1526418100214864</v>
      </c>
      <c r="G160">
        <v>8.0108371885053753</v>
      </c>
      <c r="H160">
        <v>1.0480247231552584</v>
      </c>
    </row>
    <row r="161" spans="1:8" x14ac:dyDescent="0.3">
      <c r="A161">
        <f t="shared" si="1"/>
        <v>101</v>
      </c>
      <c r="B161">
        <v>22224802.171498381</v>
      </c>
      <c r="C161">
        <v>119998.54470170596</v>
      </c>
      <c r="D161">
        <v>205.84900800202107</v>
      </c>
      <c r="E161">
        <v>85.618137382677418</v>
      </c>
      <c r="F161">
        <v>8.1112638533094348</v>
      </c>
      <c r="G161">
        <v>9.7177450635804359</v>
      </c>
      <c r="H161">
        <v>0.91234106851846697</v>
      </c>
    </row>
    <row r="162" spans="1:8" x14ac:dyDescent="0.3">
      <c r="A162">
        <f t="shared" si="1"/>
        <v>102</v>
      </c>
      <c r="B162">
        <v>25279665.646027755</v>
      </c>
      <c r="C162">
        <v>119999.9749087044</v>
      </c>
      <c r="D162">
        <v>176.58994540733178</v>
      </c>
      <c r="E162">
        <v>93.755719343901532</v>
      </c>
      <c r="F162">
        <v>2.6525599545109375</v>
      </c>
      <c r="G162">
        <v>6.9703248817284962</v>
      </c>
      <c r="H162">
        <v>1.0830728809410695</v>
      </c>
    </row>
    <row r="163" spans="1:8" x14ac:dyDescent="0.3">
      <c r="A163">
        <f t="shared" si="1"/>
        <v>103</v>
      </c>
      <c r="B163">
        <v>23869718.283704527</v>
      </c>
      <c r="C163">
        <v>119996.75971633721</v>
      </c>
      <c r="D163">
        <v>185.31539143604553</v>
      </c>
      <c r="E163">
        <v>96.256461809288282</v>
      </c>
      <c r="F163">
        <v>4.0578671132598148</v>
      </c>
      <c r="G163">
        <v>4.3161561952716143</v>
      </c>
      <c r="H163">
        <v>0.91648783741910322</v>
      </c>
    </row>
    <row r="164" spans="1:8" x14ac:dyDescent="0.3">
      <c r="A164">
        <f t="shared" si="1"/>
        <v>104</v>
      </c>
      <c r="B164">
        <v>20436966.908566751</v>
      </c>
      <c r="C164">
        <v>120005.45355078216</v>
      </c>
      <c r="D164">
        <v>181.77395602124787</v>
      </c>
      <c r="E164">
        <v>123.23415594304828</v>
      </c>
      <c r="F164">
        <v>4.1482492278194636</v>
      </c>
      <c r="G164">
        <v>12.34710685835638</v>
      </c>
      <c r="H164">
        <v>0.98793159634426542</v>
      </c>
    </row>
    <row r="165" spans="1:8" x14ac:dyDescent="0.3">
      <c r="A165">
        <f t="shared" si="1"/>
        <v>105</v>
      </c>
      <c r="B165">
        <v>23693864.081025459</v>
      </c>
      <c r="C165">
        <v>119998.80451047041</v>
      </c>
      <c r="D165">
        <v>164.30979938011652</v>
      </c>
      <c r="E165">
        <v>120.85465919208251</v>
      </c>
      <c r="F165">
        <v>6.4986991415357487</v>
      </c>
      <c r="G165">
        <v>7.2824422237840949</v>
      </c>
      <c r="H165">
        <v>0.87771750369085444</v>
      </c>
    </row>
    <row r="166" spans="1:8" x14ac:dyDescent="0.3">
      <c r="A166">
        <f t="shared" si="1"/>
        <v>106</v>
      </c>
      <c r="B166">
        <v>16298177.359786101</v>
      </c>
      <c r="C166">
        <v>119997.3367350716</v>
      </c>
      <c r="D166">
        <v>230.12204019484264</v>
      </c>
      <c r="E166">
        <v>114.77022489963927</v>
      </c>
      <c r="F166">
        <v>1.2262346994569961</v>
      </c>
      <c r="G166">
        <v>10.377365070482966</v>
      </c>
      <c r="H166">
        <v>0.88970744286652059</v>
      </c>
    </row>
    <row r="167" spans="1:8" x14ac:dyDescent="0.3">
      <c r="A167">
        <f t="shared" si="1"/>
        <v>107</v>
      </c>
      <c r="B167">
        <v>22354983.484733149</v>
      </c>
      <c r="C167">
        <v>120000.31752326556</v>
      </c>
      <c r="D167">
        <v>159.28493040006302</v>
      </c>
      <c r="E167">
        <v>129.92974379858492</v>
      </c>
      <c r="F167">
        <v>5.514812504200445</v>
      </c>
      <c r="G167">
        <v>12.582421216869644</v>
      </c>
      <c r="H167">
        <v>0.83493801725797123</v>
      </c>
    </row>
    <row r="168" spans="1:8" x14ac:dyDescent="0.3">
      <c r="A168">
        <f t="shared" si="1"/>
        <v>108</v>
      </c>
      <c r="B168">
        <v>5892196.6044506058</v>
      </c>
      <c r="C168">
        <v>119997.8925967148</v>
      </c>
      <c r="D168">
        <v>332.33492860676256</v>
      </c>
      <c r="E168">
        <v>97.97394696229199</v>
      </c>
      <c r="F168">
        <v>6.5094573448655533</v>
      </c>
      <c r="G168">
        <v>11.778624939759858</v>
      </c>
      <c r="H168">
        <v>1.1633803158874065</v>
      </c>
    </row>
    <row r="169" spans="1:8" x14ac:dyDescent="0.3">
      <c r="A169">
        <f t="shared" si="1"/>
        <v>109</v>
      </c>
      <c r="B169">
        <v>25805426.922810499</v>
      </c>
      <c r="C169">
        <v>119999.08054912089</v>
      </c>
      <c r="D169">
        <v>149.53273675722505</v>
      </c>
      <c r="E169">
        <v>105.73513112604037</v>
      </c>
      <c r="F169">
        <v>6.652243644951791</v>
      </c>
      <c r="G169">
        <v>13.610987070507273</v>
      </c>
      <c r="H169">
        <v>0.92583881789679234</v>
      </c>
    </row>
    <row r="170" spans="1:8" x14ac:dyDescent="0.3">
      <c r="A170">
        <f t="shared" si="1"/>
        <v>110</v>
      </c>
      <c r="B170">
        <v>22356890.701784894</v>
      </c>
      <c r="C170">
        <v>119996.53812794665</v>
      </c>
      <c r="D170">
        <v>188.84600999996132</v>
      </c>
      <c r="E170">
        <v>104.11816633670877</v>
      </c>
      <c r="F170">
        <v>5.1983278047753849</v>
      </c>
      <c r="G170">
        <v>6.8211895997975756</v>
      </c>
      <c r="H170">
        <v>0.91753890420779571</v>
      </c>
    </row>
    <row r="171" spans="1:8" x14ac:dyDescent="0.3">
      <c r="A171">
        <f t="shared" si="1"/>
        <v>111</v>
      </c>
      <c r="B171">
        <v>24411470.38057135</v>
      </c>
      <c r="C171">
        <v>119996.45739197028</v>
      </c>
      <c r="D171">
        <v>170.21878202105606</v>
      </c>
      <c r="E171">
        <v>108.02192508384312</v>
      </c>
      <c r="F171">
        <v>3.8187427336620763</v>
      </c>
      <c r="G171">
        <v>10.234601509041587</v>
      </c>
      <c r="H171">
        <v>1.0857059988116822</v>
      </c>
    </row>
    <row r="172" spans="1:8" x14ac:dyDescent="0.3">
      <c r="A172">
        <f t="shared" si="1"/>
        <v>112</v>
      </c>
      <c r="B172">
        <v>22562023.607171364</v>
      </c>
      <c r="C172">
        <v>120004.17228026033</v>
      </c>
      <c r="D172">
        <v>192.32023394120526</v>
      </c>
      <c r="E172">
        <v>101.93834489528851</v>
      </c>
      <c r="F172">
        <v>4.4850910438571923</v>
      </c>
      <c r="G172">
        <v>8.3033558702862216</v>
      </c>
      <c r="H172">
        <v>0.93885531806527178</v>
      </c>
    </row>
    <row r="173" spans="1:8" x14ac:dyDescent="0.3">
      <c r="A173">
        <f t="shared" si="1"/>
        <v>113</v>
      </c>
      <c r="B173">
        <v>26168044.031731393</v>
      </c>
      <c r="C173">
        <v>119995.04261035653</v>
      </c>
      <c r="D173">
        <v>156.83324885942716</v>
      </c>
      <c r="E173">
        <v>110.01636011249286</v>
      </c>
      <c r="F173">
        <v>3.0252342765665965</v>
      </c>
      <c r="G173">
        <v>5.9176989239693416</v>
      </c>
      <c r="H173">
        <v>0.90021301494676376</v>
      </c>
    </row>
    <row r="174" spans="1:8" x14ac:dyDescent="0.3">
      <c r="A174">
        <f t="shared" si="1"/>
        <v>114</v>
      </c>
      <c r="B174">
        <v>24381421.042699404</v>
      </c>
      <c r="C174">
        <v>119999.16216071184</v>
      </c>
      <c r="D174">
        <v>165.35421666834978</v>
      </c>
      <c r="E174">
        <v>112.11764257692984</v>
      </c>
      <c r="F174">
        <v>2.7271843426469924</v>
      </c>
      <c r="G174">
        <v>7.5590934478363963</v>
      </c>
      <c r="H174">
        <v>0.98410339209205899</v>
      </c>
    </row>
    <row r="175" spans="1:8" x14ac:dyDescent="0.3">
      <c r="A175">
        <f t="shared" si="1"/>
        <v>115</v>
      </c>
      <c r="B175">
        <v>27777802.767198246</v>
      </c>
      <c r="C175">
        <v>120005.11021041744</v>
      </c>
      <c r="D175">
        <v>172.85870922819552</v>
      </c>
      <c r="E175">
        <v>78.07645493900246</v>
      </c>
      <c r="F175">
        <v>4.0392687715947471</v>
      </c>
      <c r="G175">
        <v>7.2593247821297462</v>
      </c>
      <c r="H175">
        <v>0.76611302448951357</v>
      </c>
    </row>
    <row r="176" spans="1:8" x14ac:dyDescent="0.3">
      <c r="A176">
        <f t="shared" si="1"/>
        <v>116</v>
      </c>
      <c r="B176">
        <v>26978970.121742673</v>
      </c>
      <c r="C176">
        <v>120000.17431515704</v>
      </c>
      <c r="D176">
        <v>159.21287282236801</v>
      </c>
      <c r="E176">
        <v>94.958701693831387</v>
      </c>
      <c r="F176">
        <v>6.0123434262712081</v>
      </c>
      <c r="G176">
        <v>7.9761282620744591</v>
      </c>
      <c r="H176">
        <v>0.98909628449640585</v>
      </c>
    </row>
    <row r="177" spans="1:8" x14ac:dyDescent="0.3">
      <c r="A177">
        <f t="shared" si="1"/>
        <v>117</v>
      </c>
      <c r="B177">
        <v>25515447.941085972</v>
      </c>
      <c r="C177">
        <v>119999.84291427843</v>
      </c>
      <c r="D177">
        <v>192.51901666580372</v>
      </c>
      <c r="E177">
        <v>67.481011611123165</v>
      </c>
      <c r="F177">
        <v>7.7870036579992412</v>
      </c>
      <c r="G177">
        <v>14.000195155054556</v>
      </c>
      <c r="H177">
        <v>0.86785387627729405</v>
      </c>
    </row>
    <row r="178" spans="1:8" x14ac:dyDescent="0.3">
      <c r="A178">
        <f t="shared" si="1"/>
        <v>118</v>
      </c>
      <c r="B178">
        <v>16554868.775458254</v>
      </c>
      <c r="C178">
        <v>119994.93517545046</v>
      </c>
      <c r="D178">
        <v>227.40577394103673</v>
      </c>
      <c r="E178">
        <v>110.60381005348012</v>
      </c>
      <c r="F178">
        <v>5.1881265825100034</v>
      </c>
      <c r="G178">
        <v>14.010345037173268</v>
      </c>
      <c r="H178">
        <v>1.0860757731208872</v>
      </c>
    </row>
    <row r="179" spans="1:8" x14ac:dyDescent="0.3">
      <c r="A179">
        <f t="shared" si="1"/>
        <v>119</v>
      </c>
      <c r="B179">
        <v>28087417.14975398</v>
      </c>
      <c r="C179">
        <v>120000.2778353242</v>
      </c>
      <c r="D179">
        <v>146.22517946920328</v>
      </c>
      <c r="E179">
        <v>93.797575087395458</v>
      </c>
      <c r="F179">
        <v>3.0440337071457537</v>
      </c>
      <c r="G179">
        <v>10.326002775666057</v>
      </c>
      <c r="H179">
        <v>0.96949568674432463</v>
      </c>
    </row>
    <row r="180" spans="1:8" x14ac:dyDescent="0.3">
      <c r="A180">
        <f t="shared" si="1"/>
        <v>120</v>
      </c>
      <c r="B180">
        <v>14132752.546639197</v>
      </c>
      <c r="C180">
        <v>119997.86703120862</v>
      </c>
      <c r="D180">
        <v>224.91167299785596</v>
      </c>
      <c r="E180">
        <v>139.15907530175411</v>
      </c>
      <c r="F180">
        <v>3.682865010498686</v>
      </c>
      <c r="G180">
        <v>10.702370585892423</v>
      </c>
      <c r="H180">
        <v>1.1725318120789674</v>
      </c>
    </row>
    <row r="181" spans="1:8" x14ac:dyDescent="0.3">
      <c r="A181">
        <f t="shared" si="1"/>
        <v>121</v>
      </c>
      <c r="B181">
        <v>22583100.452882104</v>
      </c>
      <c r="C181">
        <v>119997.18175461165</v>
      </c>
      <c r="D181">
        <v>195.30929078196783</v>
      </c>
      <c r="E181">
        <v>97.954519365415294</v>
      </c>
      <c r="F181">
        <v>3.4387356620268612</v>
      </c>
      <c r="G181">
        <v>11.473909992703115</v>
      </c>
      <c r="H181">
        <v>1.0117235612069255</v>
      </c>
    </row>
    <row r="182" spans="1:8" x14ac:dyDescent="0.3">
      <c r="A182">
        <f t="shared" si="1"/>
        <v>122</v>
      </c>
      <c r="B182">
        <v>29215543.066047825</v>
      </c>
      <c r="C182">
        <v>119999.65365118848</v>
      </c>
      <c r="D182">
        <v>161.242634980102</v>
      </c>
      <c r="E182">
        <v>63.602595760439698</v>
      </c>
      <c r="F182">
        <v>6.8948555119431116</v>
      </c>
      <c r="G182">
        <v>13.627238771817774</v>
      </c>
      <c r="H182">
        <v>1.0855803167959825</v>
      </c>
    </row>
    <row r="183" spans="1:8" x14ac:dyDescent="0.3">
      <c r="A183">
        <f t="shared" si="1"/>
        <v>123</v>
      </c>
      <c r="B183">
        <v>26819624.873312056</v>
      </c>
      <c r="C183">
        <v>120000.81111118368</v>
      </c>
      <c r="D183">
        <v>131.0330908545719</v>
      </c>
      <c r="E183">
        <v>125.82953081509662</v>
      </c>
      <c r="F183">
        <v>4.9481802129783432</v>
      </c>
      <c r="G183">
        <v>10.876006182971659</v>
      </c>
      <c r="H183">
        <v>0.91557699683434668</v>
      </c>
    </row>
    <row r="184" spans="1:8" x14ac:dyDescent="0.3">
      <c r="A184">
        <f t="shared" si="1"/>
        <v>124</v>
      </c>
      <c r="B184">
        <v>22594168.990431644</v>
      </c>
      <c r="C184">
        <v>119997.16221460566</v>
      </c>
      <c r="D184">
        <v>179.79016764244477</v>
      </c>
      <c r="E184">
        <v>100.81332870154871</v>
      </c>
      <c r="F184">
        <v>5.4822151006727236</v>
      </c>
      <c r="G184">
        <v>16.643786670303022</v>
      </c>
      <c r="H184">
        <v>1.0172194374849808</v>
      </c>
    </row>
    <row r="185" spans="1:8" x14ac:dyDescent="0.3">
      <c r="A185">
        <f t="shared" si="1"/>
        <v>125</v>
      </c>
      <c r="B185">
        <v>32795717.689417601</v>
      </c>
      <c r="C185">
        <v>120001.18501163524</v>
      </c>
      <c r="D185">
        <v>123.87216037369603</v>
      </c>
      <c r="E185">
        <v>71.563811387315752</v>
      </c>
      <c r="F185">
        <v>6.3754695815399778</v>
      </c>
      <c r="G185">
        <v>10.792743227077292</v>
      </c>
      <c r="H185">
        <v>1.0352530563857416</v>
      </c>
    </row>
    <row r="186" spans="1:8" x14ac:dyDescent="0.3">
      <c r="A186">
        <f t="shared" si="1"/>
        <v>126</v>
      </c>
      <c r="B186">
        <v>20888264.459674291</v>
      </c>
      <c r="C186">
        <v>120004.56386486419</v>
      </c>
      <c r="D186">
        <v>227.48751626718146</v>
      </c>
      <c r="E186">
        <v>76.472093029237499</v>
      </c>
      <c r="F186">
        <v>2.980837536865117</v>
      </c>
      <c r="G186">
        <v>11.016732712182687</v>
      </c>
      <c r="H186">
        <v>0.95255843413109154</v>
      </c>
    </row>
    <row r="187" spans="1:8" x14ac:dyDescent="0.3">
      <c r="A187">
        <f t="shared" si="1"/>
        <v>127</v>
      </c>
      <c r="B187">
        <v>27726985.32047626</v>
      </c>
      <c r="C187">
        <v>119995.71217566892</v>
      </c>
      <c r="D187">
        <v>182.53439960668686</v>
      </c>
      <c r="E187">
        <v>68.32595190346251</v>
      </c>
      <c r="F187">
        <v>3.9324211444945805</v>
      </c>
      <c r="G187">
        <v>8.24163655458538</v>
      </c>
      <c r="H187">
        <v>0.92354398437373797</v>
      </c>
    </row>
    <row r="188" spans="1:8" x14ac:dyDescent="0.3">
      <c r="A188">
        <f t="shared" si="1"/>
        <v>128</v>
      </c>
      <c r="B188">
        <v>16567205.632854931</v>
      </c>
      <c r="C188">
        <v>120004.55148504733</v>
      </c>
      <c r="D188">
        <v>227.75857309579493</v>
      </c>
      <c r="E188">
        <v>104.70564448729154</v>
      </c>
      <c r="F188">
        <v>6.6350734609246063</v>
      </c>
      <c r="G188">
        <v>15.028416838103094</v>
      </c>
      <c r="H188">
        <v>0.98471734626151752</v>
      </c>
    </row>
    <row r="189" spans="1:8" x14ac:dyDescent="0.3">
      <c r="A189">
        <f t="shared" si="1"/>
        <v>129</v>
      </c>
      <c r="B189">
        <v>9600296.2731040493</v>
      </c>
      <c r="C189">
        <v>120001.06009941718</v>
      </c>
      <c r="D189">
        <v>259.23709475396169</v>
      </c>
      <c r="E189">
        <v>140.28445923864581</v>
      </c>
      <c r="F189">
        <v>6.7749675040245343</v>
      </c>
      <c r="G189">
        <v>9.4620510329608027</v>
      </c>
      <c r="H189">
        <v>1.2470753040025913</v>
      </c>
    </row>
    <row r="190" spans="1:8" x14ac:dyDescent="0.3">
      <c r="A190">
        <f t="shared" si="1"/>
        <v>130</v>
      </c>
      <c r="B190">
        <v>29037939.75260745</v>
      </c>
      <c r="C190">
        <v>119994.09642215646</v>
      </c>
      <c r="D190">
        <v>140.58628338615085</v>
      </c>
      <c r="E190">
        <v>88.579008387804151</v>
      </c>
      <c r="F190">
        <v>9.0582989331922903</v>
      </c>
      <c r="G190">
        <v>9.6784875535974084</v>
      </c>
      <c r="H190">
        <v>0.97040978673089506</v>
      </c>
    </row>
    <row r="191" spans="1:8" x14ac:dyDescent="0.3">
      <c r="A191">
        <f t="shared" ref="A191:A254" si="2">A190+1</f>
        <v>131</v>
      </c>
      <c r="B191">
        <v>21712013.594997525</v>
      </c>
      <c r="C191">
        <v>120003.86492396718</v>
      </c>
      <c r="D191">
        <v>169.89672178913946</v>
      </c>
      <c r="E191">
        <v>119.74047059199754</v>
      </c>
      <c r="F191">
        <v>5.8308653110077868</v>
      </c>
      <c r="G191">
        <v>15.013502654292887</v>
      </c>
      <c r="H191">
        <v>1.0659769304292637</v>
      </c>
    </row>
    <row r="192" spans="1:8" x14ac:dyDescent="0.3">
      <c r="A192">
        <f t="shared" si="2"/>
        <v>132</v>
      </c>
      <c r="B192">
        <v>28641864.733669065</v>
      </c>
      <c r="C192">
        <v>120000.45157870774</v>
      </c>
      <c r="D192">
        <v>170.99677002769704</v>
      </c>
      <c r="E192">
        <v>64.21714457533686</v>
      </c>
      <c r="F192">
        <v>3.5851596255681364</v>
      </c>
      <c r="G192">
        <v>9.8415987015566273</v>
      </c>
      <c r="H192">
        <v>0.98587633998810276</v>
      </c>
    </row>
    <row r="193" spans="1:8" x14ac:dyDescent="0.3">
      <c r="A193">
        <f t="shared" si="2"/>
        <v>133</v>
      </c>
      <c r="B193">
        <v>20663931.764336564</v>
      </c>
      <c r="C193">
        <v>120002.51834034064</v>
      </c>
      <c r="D193">
        <v>206.84347967391096</v>
      </c>
      <c r="E193">
        <v>102.73792851869555</v>
      </c>
      <c r="F193">
        <v>3.323419989811975</v>
      </c>
      <c r="G193">
        <v>10.44149742399078</v>
      </c>
      <c r="H193">
        <v>1.1268433174995431</v>
      </c>
    </row>
    <row r="194" spans="1:8" x14ac:dyDescent="0.3">
      <c r="A194">
        <f t="shared" si="2"/>
        <v>134</v>
      </c>
      <c r="B194">
        <v>19050824.477257505</v>
      </c>
      <c r="C194">
        <v>119999.45381214247</v>
      </c>
      <c r="D194">
        <v>241.29605856241054</v>
      </c>
      <c r="E194">
        <v>79.614715017583308</v>
      </c>
      <c r="F194">
        <v>1.6948640985204579</v>
      </c>
      <c r="G194">
        <v>11.629907687533279</v>
      </c>
      <c r="H194">
        <v>0.94844229266809799</v>
      </c>
    </row>
    <row r="195" spans="1:8" x14ac:dyDescent="0.3">
      <c r="A195">
        <f t="shared" si="2"/>
        <v>135</v>
      </c>
      <c r="B195">
        <v>20261210.693068862</v>
      </c>
      <c r="C195">
        <v>119998.61095828202</v>
      </c>
      <c r="D195">
        <v>219.45143239226684</v>
      </c>
      <c r="E195">
        <v>86.911947018691848</v>
      </c>
      <c r="F195">
        <v>10.484124087166144</v>
      </c>
      <c r="G195">
        <v>11.608292012059771</v>
      </c>
      <c r="H195">
        <v>0.9584567589042382</v>
      </c>
    </row>
    <row r="196" spans="1:8" x14ac:dyDescent="0.3">
      <c r="A196">
        <f t="shared" si="2"/>
        <v>136</v>
      </c>
      <c r="B196">
        <v>14458065.138681039</v>
      </c>
      <c r="C196">
        <v>119995.1288118931</v>
      </c>
      <c r="D196">
        <v>260.25474417161837</v>
      </c>
      <c r="E196">
        <v>103.69869797810028</v>
      </c>
      <c r="F196">
        <v>5.0877370949745186</v>
      </c>
      <c r="G196">
        <v>8.2268109189956444</v>
      </c>
      <c r="H196">
        <v>0.93867526802247836</v>
      </c>
    </row>
    <row r="197" spans="1:8" x14ac:dyDescent="0.3">
      <c r="A197">
        <f t="shared" si="2"/>
        <v>137</v>
      </c>
      <c r="B197">
        <v>24997465.300157376</v>
      </c>
      <c r="C197">
        <v>119999.33673547345</v>
      </c>
      <c r="D197">
        <v>203.13259146173132</v>
      </c>
      <c r="E197">
        <v>65.520596206503768</v>
      </c>
      <c r="F197">
        <v>8.0637202872311065</v>
      </c>
      <c r="G197">
        <v>7.8272959506176685</v>
      </c>
      <c r="H197">
        <v>1.0130254485647534</v>
      </c>
    </row>
    <row r="198" spans="1:8" x14ac:dyDescent="0.3">
      <c r="A198">
        <f t="shared" si="2"/>
        <v>138</v>
      </c>
      <c r="B198">
        <v>17995906.242132403</v>
      </c>
      <c r="C198">
        <v>120000.54011164975</v>
      </c>
      <c r="D198">
        <v>222.71815595477648</v>
      </c>
      <c r="E198">
        <v>105.79550180105542</v>
      </c>
      <c r="F198">
        <v>4.4426714372140035</v>
      </c>
      <c r="G198">
        <v>11.958123552333038</v>
      </c>
      <c r="H198">
        <v>1.0470749635336452</v>
      </c>
    </row>
    <row r="199" spans="1:8" x14ac:dyDescent="0.3">
      <c r="A199">
        <f t="shared" si="2"/>
        <v>139</v>
      </c>
      <c r="B199">
        <v>15204691.151129708</v>
      </c>
      <c r="C199">
        <v>119996.38790844088</v>
      </c>
      <c r="D199">
        <v>249.59878863167089</v>
      </c>
      <c r="E199">
        <v>100.30320430399242</v>
      </c>
      <c r="F199">
        <v>4.6701494596564332</v>
      </c>
      <c r="G199">
        <v>13.114070820058732</v>
      </c>
      <c r="H199">
        <v>1.1646615443962611</v>
      </c>
    </row>
    <row r="200" spans="1:8" x14ac:dyDescent="0.3">
      <c r="A200">
        <f t="shared" si="2"/>
        <v>140</v>
      </c>
      <c r="B200">
        <v>15462961.785171412</v>
      </c>
      <c r="C200">
        <v>119999.27773776939</v>
      </c>
      <c r="D200">
        <v>242.84378307343744</v>
      </c>
      <c r="E200">
        <v>109.3281012788642</v>
      </c>
      <c r="F200">
        <v>8.2216125513683593</v>
      </c>
      <c r="G200">
        <v>5.9235432134765684</v>
      </c>
      <c r="H200">
        <v>0.99410357192581533</v>
      </c>
    </row>
    <row r="201" spans="1:8" x14ac:dyDescent="0.3">
      <c r="A201">
        <f t="shared" si="2"/>
        <v>141</v>
      </c>
      <c r="B201">
        <v>8320823.8356151246</v>
      </c>
      <c r="C201">
        <v>60001.985996889634</v>
      </c>
      <c r="D201">
        <v>232.6804868356451</v>
      </c>
      <c r="E201">
        <v>104.7117479740854</v>
      </c>
      <c r="F201">
        <v>6.3613857388984432</v>
      </c>
      <c r="G201">
        <v>9.3672330999273754</v>
      </c>
      <c r="H201">
        <v>1.0107964678282138</v>
      </c>
    </row>
    <row r="202" spans="1:8" x14ac:dyDescent="0.3">
      <c r="A202">
        <f t="shared" si="2"/>
        <v>142</v>
      </c>
      <c r="B202">
        <v>16731348.850792199</v>
      </c>
      <c r="C202">
        <v>120005.61548990142</v>
      </c>
      <c r="D202">
        <v>205.19097390568768</v>
      </c>
      <c r="E202">
        <v>135.47204332421865</v>
      </c>
      <c r="F202">
        <v>5.4995769865054172</v>
      </c>
      <c r="G202">
        <v>11.393111801571099</v>
      </c>
      <c r="H202">
        <v>0.98252570541255513</v>
      </c>
    </row>
    <row r="203" spans="1:8" x14ac:dyDescent="0.3">
      <c r="A203">
        <f t="shared" si="2"/>
        <v>143</v>
      </c>
      <c r="B203">
        <v>26752875.866020255</v>
      </c>
      <c r="C203">
        <v>120000.00002827529</v>
      </c>
      <c r="D203">
        <v>128.92939018323031</v>
      </c>
      <c r="E203">
        <v>126.5870918595667</v>
      </c>
      <c r="F203">
        <v>7.0203525106008851</v>
      </c>
      <c r="G203">
        <v>11.222308870232522</v>
      </c>
      <c r="H203">
        <v>0.93736171390539258</v>
      </c>
    </row>
    <row r="204" spans="1:8" x14ac:dyDescent="0.3">
      <c r="A204">
        <f t="shared" si="2"/>
        <v>144</v>
      </c>
      <c r="B204">
        <v>21678852.014153816</v>
      </c>
      <c r="C204">
        <v>119993.20902346518</v>
      </c>
      <c r="D204">
        <v>163.34904826058187</v>
      </c>
      <c r="E204">
        <v>137.01376240702507</v>
      </c>
      <c r="F204">
        <v>3.1851745755747594</v>
      </c>
      <c r="G204">
        <v>9.4681957614658359</v>
      </c>
      <c r="H204">
        <v>0.83973318296289512</v>
      </c>
    </row>
    <row r="205" spans="1:8" x14ac:dyDescent="0.3">
      <c r="A205">
        <f t="shared" si="2"/>
        <v>145</v>
      </c>
      <c r="B205">
        <v>19474244.018084347</v>
      </c>
      <c r="C205">
        <v>119995.61482688226</v>
      </c>
      <c r="D205">
        <v>235.14299780800732</v>
      </c>
      <c r="E205">
        <v>84.63449598039611</v>
      </c>
      <c r="F205">
        <v>4.1561668894470847</v>
      </c>
      <c r="G205">
        <v>6.4300012321106941</v>
      </c>
      <c r="H205">
        <v>0.90383253687803644</v>
      </c>
    </row>
    <row r="206" spans="1:8" x14ac:dyDescent="0.3">
      <c r="A206">
        <f t="shared" si="2"/>
        <v>146</v>
      </c>
      <c r="B206">
        <v>11745897.589516655</v>
      </c>
      <c r="C206">
        <v>119998.35119654608</v>
      </c>
      <c r="D206">
        <v>224.76418143756726</v>
      </c>
      <c r="E206">
        <v>162.34815688048434</v>
      </c>
      <c r="F206">
        <v>1.7395751873788412</v>
      </c>
      <c r="G206">
        <v>9.2475300184992335</v>
      </c>
      <c r="H206">
        <v>1.0623176742837455</v>
      </c>
    </row>
    <row r="207" spans="1:8" x14ac:dyDescent="0.3">
      <c r="A207">
        <f t="shared" si="2"/>
        <v>147</v>
      </c>
      <c r="B207">
        <v>22351845.365099959</v>
      </c>
      <c r="C207">
        <v>120007.78221067823</v>
      </c>
      <c r="D207">
        <v>183.98442525792183</v>
      </c>
      <c r="E207">
        <v>105.57129106458638</v>
      </c>
      <c r="F207">
        <v>5.0639796573659224</v>
      </c>
      <c r="G207">
        <v>9.3362866004318725</v>
      </c>
      <c r="H207">
        <v>0.91794821400082427</v>
      </c>
    </row>
    <row r="208" spans="1:8" x14ac:dyDescent="0.3">
      <c r="A208">
        <f t="shared" si="2"/>
        <v>148</v>
      </c>
      <c r="B208">
        <v>18383997.205366969</v>
      </c>
      <c r="C208">
        <v>120001.07360362654</v>
      </c>
      <c r="D208">
        <v>217.02824429440813</v>
      </c>
      <c r="E208">
        <v>111.33361704183412</v>
      </c>
      <c r="F208">
        <v>3.6555110109363813</v>
      </c>
      <c r="G208">
        <v>7.6789862137144205</v>
      </c>
      <c r="H208">
        <v>0.9730455086573504</v>
      </c>
    </row>
    <row r="209" spans="1:8" x14ac:dyDescent="0.3">
      <c r="A209">
        <f t="shared" si="2"/>
        <v>149</v>
      </c>
      <c r="B209">
        <v>25711102.142567124</v>
      </c>
      <c r="C209">
        <v>119994.4877478235</v>
      </c>
      <c r="D209">
        <v>193.46818691937705</v>
      </c>
      <c r="E209">
        <v>75.744468677143772</v>
      </c>
      <c r="F209">
        <v>3.4735986786301716</v>
      </c>
      <c r="G209">
        <v>4.773720204127109</v>
      </c>
      <c r="H209">
        <v>0.88612210560283056</v>
      </c>
    </row>
    <row r="210" spans="1:8" x14ac:dyDescent="0.3">
      <c r="A210">
        <f t="shared" si="2"/>
        <v>150</v>
      </c>
      <c r="B210">
        <v>16241465.548930965</v>
      </c>
      <c r="C210">
        <v>120004.69728273158</v>
      </c>
      <c r="D210">
        <v>252.15560057459084</v>
      </c>
      <c r="E210">
        <v>89.78353855440632</v>
      </c>
      <c r="F210">
        <v>7.2178989311811641</v>
      </c>
      <c r="G210">
        <v>12.159064790937158</v>
      </c>
      <c r="H210">
        <v>1.0209841546503142</v>
      </c>
    </row>
    <row r="211" spans="1:8" x14ac:dyDescent="0.3">
      <c r="A211">
        <f t="shared" si="2"/>
        <v>151</v>
      </c>
      <c r="B211">
        <v>20358050.402626291</v>
      </c>
      <c r="C211">
        <v>120007.09566903913</v>
      </c>
      <c r="D211">
        <v>206.08113564309838</v>
      </c>
      <c r="E211">
        <v>103.81604190456382</v>
      </c>
      <c r="F211">
        <v>5.9014028489550299</v>
      </c>
      <c r="G211">
        <v>10.046913901525327</v>
      </c>
      <c r="H211">
        <v>0.88721780974635023</v>
      </c>
    </row>
    <row r="212" spans="1:8" x14ac:dyDescent="0.3">
      <c r="A212">
        <f t="shared" si="2"/>
        <v>152</v>
      </c>
      <c r="B212">
        <v>26082364.242745623</v>
      </c>
      <c r="C212">
        <v>120000.83023502707</v>
      </c>
      <c r="D212">
        <v>169.76563771768159</v>
      </c>
      <c r="E212">
        <v>88.11175695070429</v>
      </c>
      <c r="F212">
        <v>5.9212740277921156</v>
      </c>
      <c r="G212">
        <v>12.338603177100396</v>
      </c>
      <c r="H212">
        <v>0.92303536733685687</v>
      </c>
    </row>
    <row r="213" spans="1:8" x14ac:dyDescent="0.3">
      <c r="A213">
        <f t="shared" si="2"/>
        <v>153</v>
      </c>
      <c r="B213">
        <v>19703593.374070644</v>
      </c>
      <c r="C213">
        <v>119998.67788414884</v>
      </c>
      <c r="D213">
        <v>184.92436307500344</v>
      </c>
      <c r="E213">
        <v>128.51767792415612</v>
      </c>
      <c r="F213">
        <v>6.3388103313100812</v>
      </c>
      <c r="G213">
        <v>11.75380271073093</v>
      </c>
      <c r="H213">
        <v>1.0737431480451822</v>
      </c>
    </row>
    <row r="214" spans="1:8" x14ac:dyDescent="0.3">
      <c r="A214">
        <f t="shared" si="2"/>
        <v>154</v>
      </c>
      <c r="B214">
        <v>20058093.322488241</v>
      </c>
      <c r="C214">
        <v>119999.04310682515</v>
      </c>
      <c r="D214">
        <v>212.77148619092512</v>
      </c>
      <c r="E214">
        <v>100.37324732420369</v>
      </c>
      <c r="F214">
        <v>3.1737465451973543</v>
      </c>
      <c r="G214">
        <v>10.204853703543645</v>
      </c>
      <c r="H214">
        <v>1.0712392927296177</v>
      </c>
    </row>
    <row r="215" spans="1:8" x14ac:dyDescent="0.3">
      <c r="A215">
        <f t="shared" si="2"/>
        <v>155</v>
      </c>
      <c r="B215">
        <v>26695177.009739004</v>
      </c>
      <c r="C215">
        <v>120001.24533322352</v>
      </c>
      <c r="D215">
        <v>168.01718377625852</v>
      </c>
      <c r="E215">
        <v>89.354869093240808</v>
      </c>
      <c r="F215">
        <v>6.5615842000829296</v>
      </c>
      <c r="G215">
        <v>9.7323205291508739</v>
      </c>
      <c r="H215">
        <v>0.92171614699183912</v>
      </c>
    </row>
    <row r="216" spans="1:8" x14ac:dyDescent="0.3">
      <c r="A216">
        <f t="shared" si="2"/>
        <v>156</v>
      </c>
      <c r="B216">
        <v>22134782.798784591</v>
      </c>
      <c r="C216">
        <v>120003.67038644019</v>
      </c>
      <c r="D216">
        <v>171.74000754375189</v>
      </c>
      <c r="E216">
        <v>120.76591586807413</v>
      </c>
      <c r="F216">
        <v>4.3959488808855456</v>
      </c>
      <c r="G216">
        <v>12.041986275727361</v>
      </c>
      <c r="H216">
        <v>0.83691604261747155</v>
      </c>
    </row>
    <row r="217" spans="1:8" x14ac:dyDescent="0.3">
      <c r="A217">
        <f t="shared" si="2"/>
        <v>157</v>
      </c>
      <c r="B217">
        <v>20236545.843654037</v>
      </c>
      <c r="C217">
        <v>119999.15191091834</v>
      </c>
      <c r="D217">
        <v>225.525454343159</v>
      </c>
      <c r="E217">
        <v>87.14819515128039</v>
      </c>
      <c r="F217">
        <v>2.7660214557483225</v>
      </c>
      <c r="G217">
        <v>11.982962739650342</v>
      </c>
      <c r="H217">
        <v>1.0324754419264184</v>
      </c>
    </row>
    <row r="218" spans="1:8" x14ac:dyDescent="0.3">
      <c r="A218">
        <f t="shared" si="2"/>
        <v>158</v>
      </c>
      <c r="B218">
        <v>18099803.720065556</v>
      </c>
      <c r="C218">
        <v>119995.98724008907</v>
      </c>
      <c r="D218">
        <v>248.33323791214551</v>
      </c>
      <c r="E218">
        <v>85.355688033966729</v>
      </c>
      <c r="F218">
        <v>5.9090430145639594</v>
      </c>
      <c r="G218">
        <v>6.4488284535888543</v>
      </c>
      <c r="H218">
        <v>1.0725640314858562</v>
      </c>
    </row>
    <row r="219" spans="1:8" x14ac:dyDescent="0.3">
      <c r="A219">
        <f t="shared" si="2"/>
        <v>159</v>
      </c>
      <c r="B219">
        <v>16045522.72019349</v>
      </c>
      <c r="C219">
        <v>120002.77444268974</v>
      </c>
      <c r="D219">
        <v>262.98161002460051</v>
      </c>
      <c r="E219">
        <v>83.210008625036281</v>
      </c>
      <c r="F219">
        <v>5.2938198848664166</v>
      </c>
      <c r="G219">
        <v>11.396171666072485</v>
      </c>
      <c r="H219">
        <v>1.047462194980356</v>
      </c>
    </row>
    <row r="220" spans="1:8" x14ac:dyDescent="0.3">
      <c r="A220">
        <f t="shared" si="2"/>
        <v>160</v>
      </c>
      <c r="B220">
        <v>18607127.125416905</v>
      </c>
      <c r="C220">
        <v>120006.49226134989</v>
      </c>
      <c r="D220">
        <v>201.84066587582862</v>
      </c>
      <c r="E220">
        <v>114.58368019909574</v>
      </c>
      <c r="F220">
        <v>6.1968826712141141</v>
      </c>
      <c r="G220">
        <v>16.715344656187241</v>
      </c>
      <c r="H220">
        <v>0.88949174664420461</v>
      </c>
    </row>
    <row r="221" spans="1:8" x14ac:dyDescent="0.3">
      <c r="A221">
        <f t="shared" si="2"/>
        <v>161</v>
      </c>
      <c r="B221">
        <v>23069269.431301825</v>
      </c>
      <c r="C221">
        <v>119996.73164832298</v>
      </c>
      <c r="D221">
        <v>222.56138573886616</v>
      </c>
      <c r="E221">
        <v>65.746587386627709</v>
      </c>
      <c r="F221">
        <v>5.4542906566367177</v>
      </c>
      <c r="G221">
        <v>10.85364049549924</v>
      </c>
      <c r="H221">
        <v>1.0666893975141141</v>
      </c>
    </row>
    <row r="222" spans="1:8" x14ac:dyDescent="0.3">
      <c r="A222">
        <f t="shared" si="2"/>
        <v>162</v>
      </c>
      <c r="B222">
        <v>23571384.338303469</v>
      </c>
      <c r="C222">
        <v>120002.82707697079</v>
      </c>
      <c r="D222">
        <v>192.18561970199028</v>
      </c>
      <c r="E222">
        <v>92.852590702186831</v>
      </c>
      <c r="F222">
        <v>5.9692827366554191</v>
      </c>
      <c r="G222">
        <v>9.4703975205904882</v>
      </c>
      <c r="H222">
        <v>1.0770954588372568</v>
      </c>
    </row>
    <row r="223" spans="1:8" x14ac:dyDescent="0.3">
      <c r="A223">
        <f t="shared" si="2"/>
        <v>163</v>
      </c>
      <c r="B223">
        <v>29370402.998448499</v>
      </c>
      <c r="C223">
        <v>120001.60555774173</v>
      </c>
      <c r="D223">
        <v>151.92255178810791</v>
      </c>
      <c r="E223">
        <v>84.184158701163099</v>
      </c>
      <c r="F223">
        <v>6.7144691853902199</v>
      </c>
      <c r="G223">
        <v>8.1748957925108705</v>
      </c>
      <c r="H223">
        <v>0.84300648217359653</v>
      </c>
    </row>
    <row r="224" spans="1:8" x14ac:dyDescent="0.3">
      <c r="A224">
        <f t="shared" si="2"/>
        <v>164</v>
      </c>
      <c r="B224">
        <v>16864063.853444345</v>
      </c>
      <c r="C224">
        <v>119997.91062028534</v>
      </c>
      <c r="D224">
        <v>238.70638438775168</v>
      </c>
      <c r="E224">
        <v>101.48889629852809</v>
      </c>
      <c r="F224">
        <v>3.0214185442294235</v>
      </c>
      <c r="G224">
        <v>11.298660238294918</v>
      </c>
      <c r="H224">
        <v>1.008171351188752</v>
      </c>
    </row>
    <row r="225" spans="1:8" x14ac:dyDescent="0.3">
      <c r="A225">
        <f t="shared" si="2"/>
        <v>165</v>
      </c>
      <c r="B225">
        <v>19601879.921715014</v>
      </c>
      <c r="C225">
        <v>120000.63517803697</v>
      </c>
      <c r="D225">
        <v>213.88640742960229</v>
      </c>
      <c r="E225">
        <v>97.648304110923732</v>
      </c>
      <c r="F225">
        <v>6.4271702387720895</v>
      </c>
      <c r="G225">
        <v>10.362773417946592</v>
      </c>
      <c r="H225">
        <v>1.0755802645586572</v>
      </c>
    </row>
    <row r="226" spans="1:8" x14ac:dyDescent="0.3">
      <c r="A226">
        <f t="shared" si="2"/>
        <v>166</v>
      </c>
      <c r="B226">
        <v>32339999.994089734</v>
      </c>
      <c r="C226">
        <v>120000.96146387039</v>
      </c>
      <c r="D226">
        <v>116.87935432900572</v>
      </c>
      <c r="E226">
        <v>83.873237456560474</v>
      </c>
      <c r="F226">
        <v>8.2106072067480298</v>
      </c>
      <c r="G226">
        <v>16.449493938378211</v>
      </c>
      <c r="H226">
        <v>0.8835574811022846</v>
      </c>
    </row>
    <row r="227" spans="1:8" x14ac:dyDescent="0.3">
      <c r="A227">
        <f t="shared" si="2"/>
        <v>167</v>
      </c>
      <c r="B227">
        <v>27096978.623983096</v>
      </c>
      <c r="C227">
        <v>119999.22381806427</v>
      </c>
      <c r="D227">
        <v>147.82569349451387</v>
      </c>
      <c r="E227">
        <v>105.35056870679936</v>
      </c>
      <c r="F227">
        <v>3.9160636754811637</v>
      </c>
      <c r="G227">
        <v>5.3213803369739079</v>
      </c>
      <c r="H227">
        <v>0.93593561382325219</v>
      </c>
    </row>
    <row r="228" spans="1:8" x14ac:dyDescent="0.3">
      <c r="A228">
        <f t="shared" si="2"/>
        <v>168</v>
      </c>
      <c r="B228">
        <v>21441510.96376548</v>
      </c>
      <c r="C228">
        <v>119998.0493989564</v>
      </c>
      <c r="D228">
        <v>208.4004568933982</v>
      </c>
      <c r="E228">
        <v>84.878134643592688</v>
      </c>
      <c r="F228">
        <v>5.9680337931918128</v>
      </c>
      <c r="G228">
        <v>12.905240889694468</v>
      </c>
      <c r="H228">
        <v>0.74574759134773871</v>
      </c>
    </row>
    <row r="229" spans="1:8" x14ac:dyDescent="0.3">
      <c r="A229">
        <f t="shared" si="2"/>
        <v>169</v>
      </c>
      <c r="B229">
        <v>890790.37153270096</v>
      </c>
      <c r="C229">
        <v>119996.68747516962</v>
      </c>
      <c r="D229">
        <v>335.72051858099502</v>
      </c>
      <c r="E229">
        <v>141.11370241114008</v>
      </c>
      <c r="F229">
        <v>5.45269485965561</v>
      </c>
      <c r="G229">
        <v>8.6827389661703496</v>
      </c>
      <c r="H229">
        <v>1.0653202785468074</v>
      </c>
    </row>
    <row r="230" spans="1:8" x14ac:dyDescent="0.3">
      <c r="A230">
        <f t="shared" si="2"/>
        <v>170</v>
      </c>
      <c r="B230">
        <v>18105273.584895149</v>
      </c>
      <c r="C230">
        <v>119994.33023547368</v>
      </c>
      <c r="D230">
        <v>230.93198845814123</v>
      </c>
      <c r="E230">
        <v>98.550131674692039</v>
      </c>
      <c r="F230">
        <v>2.9683306163112335</v>
      </c>
      <c r="G230">
        <v>8.3973233966639675</v>
      </c>
      <c r="H230">
        <v>1.0022822999658292</v>
      </c>
    </row>
    <row r="231" spans="1:8" x14ac:dyDescent="0.3">
      <c r="A231">
        <f t="shared" si="2"/>
        <v>171</v>
      </c>
      <c r="B231">
        <v>20364427.264236696</v>
      </c>
      <c r="C231">
        <v>120001.36582808322</v>
      </c>
      <c r="D231">
        <v>208.69990985267842</v>
      </c>
      <c r="E231">
        <v>98.864012277587719</v>
      </c>
      <c r="F231">
        <v>8.5537208023924016</v>
      </c>
      <c r="G231">
        <v>10.681749192407315</v>
      </c>
      <c r="H231">
        <v>0.97326024340162032</v>
      </c>
    </row>
    <row r="232" spans="1:8" x14ac:dyDescent="0.3">
      <c r="A232">
        <f t="shared" si="2"/>
        <v>172</v>
      </c>
      <c r="B232">
        <v>22130982.436784513</v>
      </c>
      <c r="C232">
        <v>119999.80635903201</v>
      </c>
      <c r="D232">
        <v>180.40569467226032</v>
      </c>
      <c r="E232">
        <v>115.68569711684796</v>
      </c>
      <c r="F232">
        <v>4.2976861838883584</v>
      </c>
      <c r="G232">
        <v>10.264080350244379</v>
      </c>
      <c r="H232">
        <v>1.088933848331648</v>
      </c>
    </row>
    <row r="233" spans="1:8" x14ac:dyDescent="0.3">
      <c r="A233">
        <f t="shared" si="2"/>
        <v>173</v>
      </c>
      <c r="B233">
        <v>27983626.786960557</v>
      </c>
      <c r="C233">
        <v>119995.2753842111</v>
      </c>
      <c r="D233">
        <v>184.27917585754719</v>
      </c>
      <c r="E233">
        <v>58.676316245735016</v>
      </c>
      <c r="F233">
        <v>0.47035559912626557</v>
      </c>
      <c r="G233">
        <v>9.7690786653987551</v>
      </c>
      <c r="H233">
        <v>0.96537756999742019</v>
      </c>
    </row>
    <row r="234" spans="1:8" x14ac:dyDescent="0.3">
      <c r="A234">
        <f t="shared" si="2"/>
        <v>174</v>
      </c>
      <c r="B234">
        <v>19879277.568477638</v>
      </c>
      <c r="C234">
        <v>119995.48020894155</v>
      </c>
      <c r="D234">
        <v>212.10047230363702</v>
      </c>
      <c r="E234">
        <v>107.22691898923624</v>
      </c>
      <c r="F234">
        <v>4.831748874674278</v>
      </c>
      <c r="G234">
        <v>6.466199876293536</v>
      </c>
      <c r="H234">
        <v>1.0038154973060309</v>
      </c>
    </row>
    <row r="235" spans="1:8" x14ac:dyDescent="0.3">
      <c r="A235">
        <f t="shared" si="2"/>
        <v>175</v>
      </c>
      <c r="B235">
        <v>9427847.1037113965</v>
      </c>
      <c r="C235">
        <v>120002.05552478734</v>
      </c>
      <c r="D235">
        <v>288.20977486806015</v>
      </c>
      <c r="E235">
        <v>114.94238571342044</v>
      </c>
      <c r="F235">
        <v>8.6177607216535499</v>
      </c>
      <c r="G235">
        <v>7.3826336840412052</v>
      </c>
      <c r="H235">
        <v>1.2479440450712564</v>
      </c>
    </row>
    <row r="236" spans="1:8" x14ac:dyDescent="0.3">
      <c r="A236">
        <f t="shared" si="2"/>
        <v>176</v>
      </c>
      <c r="B236">
        <v>6644554.8785189465</v>
      </c>
      <c r="C236">
        <v>120006.10077655947</v>
      </c>
      <c r="D236">
        <v>311.9438991509507</v>
      </c>
      <c r="E236">
        <v>120.33476913400625</v>
      </c>
      <c r="F236">
        <v>4.6803044431762455</v>
      </c>
      <c r="G236">
        <v>6.08789283309076</v>
      </c>
      <c r="H236">
        <v>1.2074258475015736</v>
      </c>
    </row>
    <row r="237" spans="1:8" x14ac:dyDescent="0.3">
      <c r="A237">
        <f t="shared" si="2"/>
        <v>177</v>
      </c>
      <c r="B237">
        <v>21629205.508515492</v>
      </c>
      <c r="C237">
        <v>119998.6139937893</v>
      </c>
      <c r="D237">
        <v>172.67431550452838</v>
      </c>
      <c r="E237">
        <v>119.54885545378227</v>
      </c>
      <c r="F237">
        <v>6.1135932914669837</v>
      </c>
      <c r="G237">
        <v>16.84283157973934</v>
      </c>
      <c r="H237">
        <v>1.06993015294506</v>
      </c>
    </row>
    <row r="238" spans="1:8" x14ac:dyDescent="0.3">
      <c r="A238">
        <f t="shared" si="2"/>
        <v>178</v>
      </c>
      <c r="B238">
        <v>19448935.03151045</v>
      </c>
      <c r="C238">
        <v>119997.87723742562</v>
      </c>
      <c r="D238">
        <v>212.02950054300806</v>
      </c>
      <c r="E238">
        <v>105.82889560605608</v>
      </c>
      <c r="F238">
        <v>7.5164103219407785</v>
      </c>
      <c r="G238">
        <v>7.6228394206893633</v>
      </c>
      <c r="H238">
        <v>0.99958468336730599</v>
      </c>
    </row>
    <row r="239" spans="1:8" x14ac:dyDescent="0.3">
      <c r="A239">
        <f t="shared" si="2"/>
        <v>179</v>
      </c>
      <c r="B239">
        <v>15408649.69925639</v>
      </c>
      <c r="C239">
        <v>120006.3870859629</v>
      </c>
      <c r="D239">
        <v>235.81209324936728</v>
      </c>
      <c r="E239">
        <v>118.79514497615747</v>
      </c>
      <c r="F239">
        <v>2.7799306664880206</v>
      </c>
      <c r="G239">
        <v>6.8336332965506141</v>
      </c>
      <c r="H239">
        <v>1.0705499065431734</v>
      </c>
    </row>
    <row r="240" spans="1:8" x14ac:dyDescent="0.3">
      <c r="A240">
        <f t="shared" si="2"/>
        <v>180</v>
      </c>
      <c r="B240">
        <v>21727589.381547704</v>
      </c>
      <c r="C240">
        <v>120001.18617124273</v>
      </c>
      <c r="D240">
        <v>207.51403507483334</v>
      </c>
      <c r="E240">
        <v>93.665646344252792</v>
      </c>
      <c r="F240">
        <v>6.5681597873055004</v>
      </c>
      <c r="G240">
        <v>8.4786080857722848</v>
      </c>
      <c r="H240">
        <v>1.1696591909846137</v>
      </c>
    </row>
    <row r="241" spans="1:8" x14ac:dyDescent="0.3">
      <c r="A241">
        <f t="shared" si="2"/>
        <v>181</v>
      </c>
      <c r="B241">
        <v>23169159.760370903</v>
      </c>
      <c r="C241">
        <v>120000.03985075794</v>
      </c>
      <c r="D241">
        <v>213.54990182542562</v>
      </c>
      <c r="E241">
        <v>70.912067977788197</v>
      </c>
      <c r="F241">
        <v>5.5601994858735413</v>
      </c>
      <c r="G241">
        <v>7.0725162087701401</v>
      </c>
      <c r="H241">
        <v>0.88378364422800137</v>
      </c>
    </row>
    <row r="242" spans="1:8" x14ac:dyDescent="0.3">
      <c r="A242">
        <f t="shared" si="2"/>
        <v>182</v>
      </c>
      <c r="B242">
        <v>20936795.6353347</v>
      </c>
      <c r="C242">
        <v>119999.7273012767</v>
      </c>
      <c r="D242">
        <v>172.3811247424054</v>
      </c>
      <c r="E242">
        <v>134.77824398293717</v>
      </c>
      <c r="F242">
        <v>5.0033693891703921</v>
      </c>
      <c r="G242">
        <v>9.1670036010591041</v>
      </c>
      <c r="H242">
        <v>0.97081444388878335</v>
      </c>
    </row>
    <row r="243" spans="1:8" x14ac:dyDescent="0.3">
      <c r="A243">
        <f t="shared" si="2"/>
        <v>183</v>
      </c>
      <c r="B243">
        <v>17232740.483260229</v>
      </c>
      <c r="C243">
        <v>119999.85557899377</v>
      </c>
      <c r="D243">
        <v>217.60423508864653</v>
      </c>
      <c r="E243">
        <v>120.52898201314964</v>
      </c>
      <c r="F243">
        <v>4.9095898051175935</v>
      </c>
      <c r="G243">
        <v>8.8032155424788119</v>
      </c>
      <c r="H243">
        <v>0.99884693870809371</v>
      </c>
    </row>
    <row r="244" spans="1:8" x14ac:dyDescent="0.3">
      <c r="A244">
        <f t="shared" si="2"/>
        <v>184</v>
      </c>
      <c r="B244">
        <v>22545330.611547388</v>
      </c>
      <c r="C244">
        <v>120002.99503202741</v>
      </c>
      <c r="D244">
        <v>218.27474637858029</v>
      </c>
      <c r="E244">
        <v>76.380843561385149</v>
      </c>
      <c r="F244">
        <v>5.7214214092196576</v>
      </c>
      <c r="G244">
        <v>5.8278972872717443</v>
      </c>
      <c r="H244">
        <v>0.83856328492213172</v>
      </c>
    </row>
    <row r="245" spans="1:8" x14ac:dyDescent="0.3">
      <c r="A245">
        <f t="shared" si="2"/>
        <v>185</v>
      </c>
      <c r="B245">
        <v>20645480.349370241</v>
      </c>
      <c r="C245">
        <v>119997.86933786268</v>
      </c>
      <c r="D245">
        <v>214.99513849995029</v>
      </c>
      <c r="E245">
        <v>98.089243182432071</v>
      </c>
      <c r="F245">
        <v>3.9519611344200807</v>
      </c>
      <c r="G245">
        <v>6.602316664729651</v>
      </c>
      <c r="H245">
        <v>0.96529037678609209</v>
      </c>
    </row>
    <row r="246" spans="1:8" x14ac:dyDescent="0.3">
      <c r="A246">
        <f t="shared" si="2"/>
        <v>186</v>
      </c>
      <c r="B246">
        <v>20210075.590625361</v>
      </c>
      <c r="C246">
        <v>119999.85303973792</v>
      </c>
      <c r="D246">
        <v>225.32000822925269</v>
      </c>
      <c r="E246">
        <v>82.636580913620051</v>
      </c>
      <c r="F246">
        <v>3.8283819546833087</v>
      </c>
      <c r="G246">
        <v>14.849118410277757</v>
      </c>
      <c r="H246">
        <v>1.1049680088309701</v>
      </c>
    </row>
    <row r="247" spans="1:8" x14ac:dyDescent="0.3">
      <c r="A247">
        <f t="shared" si="2"/>
        <v>187</v>
      </c>
      <c r="B247">
        <v>15798440.917764962</v>
      </c>
      <c r="C247">
        <v>119995.55702666938</v>
      </c>
      <c r="D247">
        <v>228.47009134356435</v>
      </c>
      <c r="E247">
        <v>119.01355676694268</v>
      </c>
      <c r="F247">
        <v>5.699788201755382</v>
      </c>
      <c r="G247">
        <v>10.176604915088184</v>
      </c>
      <c r="H247">
        <v>0.9905640528494869</v>
      </c>
    </row>
    <row r="248" spans="1:8" x14ac:dyDescent="0.3">
      <c r="A248">
        <f t="shared" si="2"/>
        <v>188</v>
      </c>
      <c r="B248">
        <v>25834926.894585643</v>
      </c>
      <c r="C248">
        <v>119996.09238599856</v>
      </c>
      <c r="D248">
        <v>183.46531769197298</v>
      </c>
      <c r="E248">
        <v>78.312154225625363</v>
      </c>
      <c r="F248">
        <v>8.3376454803082254</v>
      </c>
      <c r="G248">
        <v>6.2635735987043892</v>
      </c>
      <c r="H248">
        <v>0.96640461424416968</v>
      </c>
    </row>
    <row r="249" spans="1:8" x14ac:dyDescent="0.3">
      <c r="A249">
        <f t="shared" si="2"/>
        <v>189</v>
      </c>
      <c r="B249">
        <v>22399320.177779607</v>
      </c>
      <c r="C249">
        <v>120005.66956575807</v>
      </c>
      <c r="D249">
        <v>196.95267446103924</v>
      </c>
      <c r="E249">
        <v>89.380427672151185</v>
      </c>
      <c r="F249">
        <v>6.9009245653574069</v>
      </c>
      <c r="G249">
        <v>12.404921907828868</v>
      </c>
      <c r="H249">
        <v>1.0257995977131806</v>
      </c>
    </row>
    <row r="250" spans="1:8" x14ac:dyDescent="0.3">
      <c r="A250">
        <f t="shared" si="2"/>
        <v>190</v>
      </c>
      <c r="B250">
        <v>23866745.653633498</v>
      </c>
      <c r="C250">
        <v>119998.76987606044</v>
      </c>
      <c r="D250">
        <v>153.64507192640713</v>
      </c>
      <c r="E250">
        <v>120.69260006145058</v>
      </c>
      <c r="F250">
        <v>7.6232422207031787</v>
      </c>
      <c r="G250">
        <v>12.451754916155334</v>
      </c>
      <c r="H250">
        <v>0.86695321962437144</v>
      </c>
    </row>
    <row r="251" spans="1:8" x14ac:dyDescent="0.3">
      <c r="A251">
        <f t="shared" si="2"/>
        <v>191</v>
      </c>
      <c r="B251">
        <v>13236152.609477364</v>
      </c>
      <c r="C251">
        <v>120002.25575058356</v>
      </c>
      <c r="D251">
        <v>247.13006214114424</v>
      </c>
      <c r="E251">
        <v>128.27346810040478</v>
      </c>
      <c r="F251">
        <v>6.43909269825172</v>
      </c>
      <c r="G251">
        <v>4.0669106952681275</v>
      </c>
      <c r="H251">
        <v>1.0549793390226676</v>
      </c>
    </row>
    <row r="252" spans="1:8" x14ac:dyDescent="0.3">
      <c r="A252">
        <f t="shared" si="2"/>
        <v>192</v>
      </c>
      <c r="B252">
        <v>20917302.435874045</v>
      </c>
      <c r="C252">
        <v>120001.69591501629</v>
      </c>
      <c r="D252">
        <v>244.76066521898494</v>
      </c>
      <c r="E252">
        <v>60.076829415765879</v>
      </c>
      <c r="F252">
        <v>1.6189420102454997</v>
      </c>
      <c r="G252">
        <v>10.603918869831315</v>
      </c>
      <c r="H252">
        <v>0.98100853420334855</v>
      </c>
    </row>
    <row r="253" spans="1:8" x14ac:dyDescent="0.3">
      <c r="A253">
        <f t="shared" si="2"/>
        <v>193</v>
      </c>
      <c r="B253">
        <v>28133644.976486452</v>
      </c>
      <c r="C253">
        <v>120000.02376671188</v>
      </c>
      <c r="D253">
        <v>160.0234140845823</v>
      </c>
      <c r="E253">
        <v>79.752332921092346</v>
      </c>
      <c r="F253">
        <v>3.2165784487191678</v>
      </c>
      <c r="G253">
        <v>13.527571788350935</v>
      </c>
      <c r="H253">
        <v>0.93537262583337943</v>
      </c>
    </row>
    <row r="254" spans="1:8" x14ac:dyDescent="0.3">
      <c r="A254">
        <f t="shared" si="2"/>
        <v>194</v>
      </c>
      <c r="B254">
        <v>17866552.304415099</v>
      </c>
      <c r="C254">
        <v>120000.5469187675</v>
      </c>
      <c r="D254">
        <v>252.10584859226381</v>
      </c>
      <c r="E254">
        <v>80.309963240902789</v>
      </c>
      <c r="F254">
        <v>2.655423471579315</v>
      </c>
      <c r="G254">
        <v>10.953375285210114</v>
      </c>
      <c r="H254">
        <v>0.96371109634841134</v>
      </c>
    </row>
    <row r="255" spans="1:8" x14ac:dyDescent="0.3">
      <c r="A255">
        <f t="shared" ref="A255:A318" si="3">A254+1</f>
        <v>195</v>
      </c>
      <c r="B255">
        <v>17071771.316698901</v>
      </c>
      <c r="C255">
        <v>119998.69404891433</v>
      </c>
      <c r="D255">
        <v>232.64997768064515</v>
      </c>
      <c r="E255">
        <v>107.87033064069331</v>
      </c>
      <c r="F255">
        <v>1.3453655250282197</v>
      </c>
      <c r="G255">
        <v>9.9080977345725394</v>
      </c>
      <c r="H255">
        <v>1.0638674510403652</v>
      </c>
    </row>
    <row r="256" spans="1:8" x14ac:dyDescent="0.3">
      <c r="A256">
        <f t="shared" si="3"/>
        <v>196</v>
      </c>
      <c r="B256">
        <v>14279899.05780457</v>
      </c>
      <c r="C256">
        <v>120003.6176376027</v>
      </c>
      <c r="D256">
        <v>262.02398022821649</v>
      </c>
      <c r="E256">
        <v>105.63570423724646</v>
      </c>
      <c r="F256">
        <v>1.4299220091212677</v>
      </c>
      <c r="G256">
        <v>7.2399063374797894</v>
      </c>
      <c r="H256">
        <v>1.1763539920297865</v>
      </c>
    </row>
    <row r="257" spans="1:8" x14ac:dyDescent="0.3">
      <c r="A257">
        <f t="shared" si="3"/>
        <v>197</v>
      </c>
      <c r="B257">
        <v>12273625.502894424</v>
      </c>
      <c r="C257">
        <v>120001.90094514609</v>
      </c>
      <c r="D257">
        <v>281.84814508219534</v>
      </c>
      <c r="E257">
        <v>99.089465948106593</v>
      </c>
      <c r="F257">
        <v>5.1253531749310461</v>
      </c>
      <c r="G257">
        <v>6.5994332625250642</v>
      </c>
      <c r="H257">
        <v>1.2216006100634123</v>
      </c>
    </row>
    <row r="258" spans="1:8" x14ac:dyDescent="0.3">
      <c r="A258">
        <f t="shared" si="3"/>
        <v>198</v>
      </c>
      <c r="B258">
        <v>17606541.639216699</v>
      </c>
      <c r="C258">
        <v>120004.41747642923</v>
      </c>
      <c r="D258">
        <v>241.69058576740204</v>
      </c>
      <c r="E258">
        <v>93.86167050193454</v>
      </c>
      <c r="F258">
        <v>5.8536447410428289</v>
      </c>
      <c r="G258">
        <v>2.9120280538129961</v>
      </c>
      <c r="H258">
        <v>1.1322777083070734</v>
      </c>
    </row>
    <row r="259" spans="1:8" x14ac:dyDescent="0.3">
      <c r="A259">
        <f t="shared" si="3"/>
        <v>199</v>
      </c>
      <c r="B259">
        <v>24203183.252626289</v>
      </c>
      <c r="C259">
        <v>119993.85741102386</v>
      </c>
      <c r="D259">
        <v>188.33077529825067</v>
      </c>
      <c r="E259">
        <v>88.475296323803377</v>
      </c>
      <c r="F259">
        <v>2.2974478340243643</v>
      </c>
      <c r="G259">
        <v>9.4605566153526972</v>
      </c>
      <c r="H259">
        <v>1.1593136093937471</v>
      </c>
    </row>
    <row r="260" spans="1:8" x14ac:dyDescent="0.3">
      <c r="A260">
        <f t="shared" si="3"/>
        <v>200</v>
      </c>
      <c r="B260">
        <v>15323292.305101588</v>
      </c>
      <c r="C260">
        <v>120001.66283341621</v>
      </c>
      <c r="D260">
        <v>246.18857680532622</v>
      </c>
      <c r="E260">
        <v>105.22958246023073</v>
      </c>
      <c r="F260">
        <v>5.4014175330343566</v>
      </c>
      <c r="G260">
        <v>11.922797650011589</v>
      </c>
      <c r="H260">
        <v>1.0320182680252634</v>
      </c>
    </row>
    <row r="261" spans="1:8" x14ac:dyDescent="0.3">
      <c r="A261">
        <f t="shared" si="3"/>
        <v>201</v>
      </c>
      <c r="B261">
        <v>23616935.218346134</v>
      </c>
      <c r="C261">
        <v>119993.88892014971</v>
      </c>
      <c r="D261">
        <v>169.83052858685986</v>
      </c>
      <c r="E261">
        <v>116.66618416388791</v>
      </c>
      <c r="F261">
        <v>6.1381304350823731</v>
      </c>
      <c r="G261">
        <v>7.2676319786582981</v>
      </c>
      <c r="H261">
        <v>0.97026809439706729</v>
      </c>
    </row>
    <row r="262" spans="1:8" x14ac:dyDescent="0.3">
      <c r="A262">
        <f t="shared" si="3"/>
        <v>202</v>
      </c>
      <c r="B262">
        <v>17679335.941992588</v>
      </c>
      <c r="C262">
        <v>119999.73887251495</v>
      </c>
      <c r="D262">
        <v>211.02607240101597</v>
      </c>
      <c r="E262">
        <v>120.91074775785151</v>
      </c>
      <c r="F262">
        <v>5.1051960621899237</v>
      </c>
      <c r="G262">
        <v>7.1269068186569609</v>
      </c>
      <c r="H262">
        <v>0.90027078326705579</v>
      </c>
    </row>
    <row r="263" spans="1:8" x14ac:dyDescent="0.3">
      <c r="A263">
        <f t="shared" si="3"/>
        <v>203</v>
      </c>
      <c r="B263">
        <v>17666745.667054258</v>
      </c>
      <c r="C263">
        <v>120000.02689369953</v>
      </c>
      <c r="D263">
        <v>214.70832868934482</v>
      </c>
      <c r="E263">
        <v>115.41154043860077</v>
      </c>
      <c r="F263">
        <v>4.196630056734449</v>
      </c>
      <c r="G263">
        <v>11.687613096705327</v>
      </c>
      <c r="H263">
        <v>0.89811748849056627</v>
      </c>
    </row>
    <row r="264" spans="1:8" x14ac:dyDescent="0.3">
      <c r="A264">
        <f t="shared" si="3"/>
        <v>204</v>
      </c>
      <c r="B264">
        <v>16101018.180831172</v>
      </c>
      <c r="C264">
        <v>119996.99702096151</v>
      </c>
      <c r="D264">
        <v>242.11727654205004</v>
      </c>
      <c r="E264">
        <v>104.18720767797149</v>
      </c>
      <c r="F264">
        <v>2.0025312514652498</v>
      </c>
      <c r="G264">
        <v>11.861187330851198</v>
      </c>
      <c r="H264">
        <v>0.95445090018895118</v>
      </c>
    </row>
    <row r="265" spans="1:8" x14ac:dyDescent="0.3">
      <c r="A265">
        <f t="shared" si="3"/>
        <v>205</v>
      </c>
      <c r="B265">
        <v>21897129.076704293</v>
      </c>
      <c r="C265">
        <v>120005.0809582779</v>
      </c>
      <c r="D265">
        <v>203.03716982108173</v>
      </c>
      <c r="E265">
        <v>96.211910848937194</v>
      </c>
      <c r="F265">
        <v>4.2080174895422395</v>
      </c>
      <c r="G265">
        <v>10.16821040842119</v>
      </c>
      <c r="H265">
        <v>1.0011524852176632</v>
      </c>
    </row>
    <row r="266" spans="1:8" x14ac:dyDescent="0.3">
      <c r="A266">
        <f t="shared" si="3"/>
        <v>206</v>
      </c>
      <c r="B266">
        <v>9964138.8592381254</v>
      </c>
      <c r="C266">
        <v>119999.07525210208</v>
      </c>
      <c r="D266">
        <v>268.91458291145346</v>
      </c>
      <c r="E266">
        <v>124.06497980232652</v>
      </c>
      <c r="F266">
        <v>4.7362561890774995</v>
      </c>
      <c r="G266">
        <v>15.464419429877262</v>
      </c>
      <c r="H266">
        <v>1.0888862881151589</v>
      </c>
    </row>
    <row r="267" spans="1:8" x14ac:dyDescent="0.3">
      <c r="A267">
        <f t="shared" si="3"/>
        <v>207</v>
      </c>
      <c r="B267">
        <v>19084616.442542404</v>
      </c>
      <c r="C267">
        <v>120005.68502057208</v>
      </c>
      <c r="D267">
        <v>218.54794176907711</v>
      </c>
      <c r="E267">
        <v>114.76987079625819</v>
      </c>
      <c r="F267">
        <v>1.1814299050933501</v>
      </c>
      <c r="G267">
        <v>3.4916951710651656</v>
      </c>
      <c r="H267">
        <v>0.95023710041743936</v>
      </c>
    </row>
    <row r="268" spans="1:8" x14ac:dyDescent="0.3">
      <c r="A268">
        <f t="shared" si="3"/>
        <v>208</v>
      </c>
      <c r="B268">
        <v>10454210.760502577</v>
      </c>
      <c r="C268">
        <v>120006.65644821094</v>
      </c>
      <c r="D268">
        <v>279.70049469718566</v>
      </c>
      <c r="E268">
        <v>112.74328459900511</v>
      </c>
      <c r="F268">
        <v>6.2213814630312925</v>
      </c>
      <c r="G268">
        <v>11.080596369540039</v>
      </c>
      <c r="H268">
        <v>1.0946359215932719</v>
      </c>
    </row>
    <row r="269" spans="1:8" x14ac:dyDescent="0.3">
      <c r="A269">
        <f t="shared" si="3"/>
        <v>209</v>
      </c>
      <c r="B269">
        <v>21196589.110331275</v>
      </c>
      <c r="C269">
        <v>120003.61123740283</v>
      </c>
      <c r="D269">
        <v>205.38813966393505</v>
      </c>
      <c r="E269">
        <v>92.648285789085946</v>
      </c>
      <c r="F269">
        <v>6.5043839788083773</v>
      </c>
      <c r="G269">
        <v>15.416938003083478</v>
      </c>
      <c r="H269">
        <v>0.96018145810421596</v>
      </c>
    </row>
    <row r="270" spans="1:8" x14ac:dyDescent="0.3">
      <c r="A270">
        <f t="shared" si="3"/>
        <v>210</v>
      </c>
      <c r="B270">
        <v>20715885.387120612</v>
      </c>
      <c r="C270">
        <v>120001.63570481664</v>
      </c>
      <c r="D270">
        <v>197.23553567862635</v>
      </c>
      <c r="E270">
        <v>98.877761481950458</v>
      </c>
      <c r="F270">
        <v>6.4252749729304197</v>
      </c>
      <c r="G270">
        <v>16.89110548122197</v>
      </c>
      <c r="H270">
        <v>1.0551273024428256</v>
      </c>
    </row>
    <row r="271" spans="1:8" x14ac:dyDescent="0.3">
      <c r="A271">
        <f t="shared" si="3"/>
        <v>211</v>
      </c>
      <c r="B271">
        <v>29079217.230572026</v>
      </c>
      <c r="C271">
        <v>119997.19774306056</v>
      </c>
      <c r="D271">
        <v>108.70726989221149</v>
      </c>
      <c r="E271">
        <v>128.10585273812924</v>
      </c>
      <c r="F271">
        <v>7.1758127072019473</v>
      </c>
      <c r="G271">
        <v>5.7802540993357301</v>
      </c>
      <c r="H271">
        <v>1.0320901207802704</v>
      </c>
    </row>
    <row r="272" spans="1:8" x14ac:dyDescent="0.3">
      <c r="A272">
        <f t="shared" si="3"/>
        <v>212</v>
      </c>
      <c r="B272">
        <v>24058609.561859824</v>
      </c>
      <c r="C272">
        <v>119994.50961286895</v>
      </c>
      <c r="D272">
        <v>152.41127883155036</v>
      </c>
      <c r="E272">
        <v>128.39740165514169</v>
      </c>
      <c r="F272">
        <v>3.9609763113805085</v>
      </c>
      <c r="G272">
        <v>7.3764136072480948</v>
      </c>
      <c r="H272">
        <v>1.0647664432809107</v>
      </c>
    </row>
    <row r="273" spans="1:8" x14ac:dyDescent="0.3">
      <c r="A273">
        <f t="shared" si="3"/>
        <v>213</v>
      </c>
      <c r="B273">
        <v>32805562.799426172</v>
      </c>
      <c r="C273">
        <v>119997.29440390077</v>
      </c>
      <c r="D273">
        <v>137.0429787300007</v>
      </c>
      <c r="E273">
        <v>68.889126907509862</v>
      </c>
      <c r="F273">
        <v>2.294051837563492</v>
      </c>
      <c r="G273">
        <v>11.531776888731505</v>
      </c>
      <c r="H273">
        <v>1.1363894392780451</v>
      </c>
    </row>
    <row r="274" spans="1:8" x14ac:dyDescent="0.3">
      <c r="A274">
        <f t="shared" si="3"/>
        <v>214</v>
      </c>
      <c r="B274">
        <v>22480864.549160637</v>
      </c>
      <c r="C274">
        <v>120002.67221172627</v>
      </c>
      <c r="D274">
        <v>206.58416626127405</v>
      </c>
      <c r="E274">
        <v>86.593836984264357</v>
      </c>
      <c r="F274">
        <v>4.3333726490422162</v>
      </c>
      <c r="G274">
        <v>9.3353159879459024</v>
      </c>
      <c r="H274">
        <v>1.0951864750375622</v>
      </c>
    </row>
    <row r="275" spans="1:8" x14ac:dyDescent="0.3">
      <c r="A275">
        <f t="shared" si="3"/>
        <v>215</v>
      </c>
      <c r="B275">
        <v>16356613.292070448</v>
      </c>
      <c r="C275">
        <v>120004.33338636503</v>
      </c>
      <c r="D275">
        <v>206.50859045199255</v>
      </c>
      <c r="E275">
        <v>132.54265060535207</v>
      </c>
      <c r="F275">
        <v>7.5235745593681438</v>
      </c>
      <c r="G275">
        <v>13.400897504776026</v>
      </c>
      <c r="H275">
        <v>1.0519691356888408</v>
      </c>
    </row>
    <row r="276" spans="1:8" x14ac:dyDescent="0.3">
      <c r="A276">
        <f t="shared" si="3"/>
        <v>216</v>
      </c>
      <c r="B276">
        <v>17521868.2839166</v>
      </c>
      <c r="C276">
        <v>119999.13444203655</v>
      </c>
      <c r="D276">
        <v>225.63328249162532</v>
      </c>
      <c r="E276">
        <v>106.47976948190727</v>
      </c>
      <c r="F276">
        <v>5.3363616700274603</v>
      </c>
      <c r="G276">
        <v>10.499559565447594</v>
      </c>
      <c r="H276">
        <v>1.0791121967551494</v>
      </c>
    </row>
    <row r="277" spans="1:8" x14ac:dyDescent="0.3">
      <c r="A277">
        <f t="shared" si="3"/>
        <v>217</v>
      </c>
      <c r="B277">
        <v>26362784.79194307</v>
      </c>
      <c r="C277">
        <v>120008.9514530965</v>
      </c>
      <c r="D277">
        <v>170.72682439156839</v>
      </c>
      <c r="E277">
        <v>92.374768041886199</v>
      </c>
      <c r="F277">
        <v>3.075816351770575</v>
      </c>
      <c r="G277">
        <v>9.9320039538694918</v>
      </c>
      <c r="H277">
        <v>1.0838703791677757</v>
      </c>
    </row>
    <row r="278" spans="1:8" x14ac:dyDescent="0.3">
      <c r="A278">
        <f t="shared" si="3"/>
        <v>218</v>
      </c>
      <c r="B278">
        <v>18289225.837771244</v>
      </c>
      <c r="C278">
        <v>119999.43121074098</v>
      </c>
      <c r="D278">
        <v>215.35161164867637</v>
      </c>
      <c r="E278">
        <v>112.12590955536295</v>
      </c>
      <c r="F278">
        <v>5.2927643809751119</v>
      </c>
      <c r="G278">
        <v>7.1866744247400929</v>
      </c>
      <c r="H278">
        <v>1.169236692600061</v>
      </c>
    </row>
    <row r="279" spans="1:8" x14ac:dyDescent="0.3">
      <c r="A279">
        <f t="shared" si="3"/>
        <v>219</v>
      </c>
      <c r="B279">
        <v>24938053.495819099</v>
      </c>
      <c r="C279">
        <v>119998.32137219855</v>
      </c>
      <c r="D279">
        <v>171.57214107234478</v>
      </c>
      <c r="E279">
        <v>99.666723348796395</v>
      </c>
      <c r="F279">
        <v>3.5839423435771356</v>
      </c>
      <c r="G279">
        <v>11.790302003264157</v>
      </c>
      <c r="H279">
        <v>0.91590933568313471</v>
      </c>
    </row>
    <row r="280" spans="1:8" x14ac:dyDescent="0.3">
      <c r="A280">
        <f t="shared" si="3"/>
        <v>220</v>
      </c>
      <c r="B280">
        <v>19770666.488568775</v>
      </c>
      <c r="C280">
        <v>119995.51639830357</v>
      </c>
      <c r="D280">
        <v>209.73343440841694</v>
      </c>
      <c r="E280">
        <v>94.636167228210482</v>
      </c>
      <c r="F280">
        <v>7.0591931417048261</v>
      </c>
      <c r="G280">
        <v>14.743017489342087</v>
      </c>
      <c r="H280">
        <v>0.95190322439702435</v>
      </c>
    </row>
    <row r="281" spans="1:8" x14ac:dyDescent="0.3">
      <c r="A281">
        <f t="shared" si="3"/>
        <v>221</v>
      </c>
      <c r="B281">
        <v>18779436.739052691</v>
      </c>
      <c r="C281">
        <v>119998.51024941815</v>
      </c>
      <c r="D281">
        <v>197.76265869935671</v>
      </c>
      <c r="E281">
        <v>124.06354578460301</v>
      </c>
      <c r="F281">
        <v>7.1910170363876276</v>
      </c>
      <c r="G281">
        <v>10.550004900632937</v>
      </c>
      <c r="H281">
        <v>1.1379602635172485</v>
      </c>
    </row>
    <row r="282" spans="1:8" x14ac:dyDescent="0.3">
      <c r="A282">
        <f t="shared" si="3"/>
        <v>222</v>
      </c>
      <c r="B282">
        <v>15199778.183796883</v>
      </c>
      <c r="C282">
        <v>119995.62096347888</v>
      </c>
      <c r="D282">
        <v>253.25900215763988</v>
      </c>
      <c r="E282">
        <v>100.77973656456868</v>
      </c>
      <c r="F282">
        <v>1.3222289404598726</v>
      </c>
      <c r="G282">
        <v>11.045645699599898</v>
      </c>
      <c r="H282">
        <v>1.0940653740805839</v>
      </c>
    </row>
    <row r="283" spans="1:8" x14ac:dyDescent="0.3">
      <c r="A283">
        <f t="shared" si="3"/>
        <v>223</v>
      </c>
      <c r="B283">
        <v>18096300.418008387</v>
      </c>
      <c r="C283">
        <v>119996.92672393845</v>
      </c>
      <c r="D283">
        <v>245.68210306510409</v>
      </c>
      <c r="E283">
        <v>79.714509273824106</v>
      </c>
      <c r="F283">
        <v>2.7486623670310246</v>
      </c>
      <c r="G283">
        <v>14.916962476201864</v>
      </c>
      <c r="H283">
        <v>1.1694951473207607</v>
      </c>
    </row>
    <row r="284" spans="1:8" x14ac:dyDescent="0.3">
      <c r="A284">
        <f t="shared" si="3"/>
        <v>224</v>
      </c>
      <c r="B284">
        <v>23658040.015710823</v>
      </c>
      <c r="C284">
        <v>119995.17586458295</v>
      </c>
      <c r="D284">
        <v>184.68328815438377</v>
      </c>
      <c r="E284">
        <v>93.15054550951524</v>
      </c>
      <c r="F284">
        <v>5.1478046860143669</v>
      </c>
      <c r="G284">
        <v>12.390461120153388</v>
      </c>
      <c r="H284">
        <v>0.95478038293629797</v>
      </c>
    </row>
    <row r="285" spans="1:8" x14ac:dyDescent="0.3">
      <c r="A285">
        <f t="shared" si="3"/>
        <v>225</v>
      </c>
      <c r="B285">
        <v>12420878.385669291</v>
      </c>
      <c r="C285">
        <v>119999.01862115406</v>
      </c>
      <c r="D285">
        <v>292.22417759624631</v>
      </c>
      <c r="E285">
        <v>88.584453130366484</v>
      </c>
      <c r="F285">
        <v>4.6742470521450112</v>
      </c>
      <c r="G285">
        <v>7.0492873668473051</v>
      </c>
      <c r="H285">
        <v>1.1510127809975157</v>
      </c>
    </row>
    <row r="286" spans="1:8" x14ac:dyDescent="0.3">
      <c r="A286">
        <f t="shared" si="3"/>
        <v>226</v>
      </c>
      <c r="B286">
        <v>21933162.689728513</v>
      </c>
      <c r="C286">
        <v>119993.74031969288</v>
      </c>
      <c r="D286">
        <v>204.32081628425271</v>
      </c>
      <c r="E286">
        <v>90.922402045257371</v>
      </c>
      <c r="F286">
        <v>5.074191941189353</v>
      </c>
      <c r="G286">
        <v>9.9398411703199017</v>
      </c>
      <c r="H286">
        <v>0.95178529617468333</v>
      </c>
    </row>
    <row r="287" spans="1:8" x14ac:dyDescent="0.3">
      <c r="A287">
        <f t="shared" si="3"/>
        <v>227</v>
      </c>
      <c r="B287">
        <v>18982962.212788433</v>
      </c>
      <c r="C287">
        <v>120001.2181406889</v>
      </c>
      <c r="D287">
        <v>226.18506665337887</v>
      </c>
      <c r="E287">
        <v>97.390993791800653</v>
      </c>
      <c r="F287">
        <v>3.2116894897324251</v>
      </c>
      <c r="G287">
        <v>5.9483860717848431</v>
      </c>
      <c r="H287">
        <v>0.95252576075000817</v>
      </c>
    </row>
    <row r="288" spans="1:8" x14ac:dyDescent="0.3">
      <c r="A288">
        <f t="shared" si="3"/>
        <v>228</v>
      </c>
      <c r="B288">
        <v>25629262.194914326</v>
      </c>
      <c r="C288">
        <v>120003.14761966345</v>
      </c>
      <c r="D288">
        <v>195.84253223909985</v>
      </c>
      <c r="E288">
        <v>63.740401069373263</v>
      </c>
      <c r="F288">
        <v>6.1079117878285905</v>
      </c>
      <c r="G288">
        <v>10.998250846792152</v>
      </c>
      <c r="H288">
        <v>0.96388171012815715</v>
      </c>
    </row>
    <row r="289" spans="1:8" x14ac:dyDescent="0.3">
      <c r="A289">
        <f t="shared" si="3"/>
        <v>229</v>
      </c>
      <c r="B289">
        <v>32641991.969171964</v>
      </c>
      <c r="C289">
        <v>120001.7526787531</v>
      </c>
      <c r="D289">
        <v>148.19820727531004</v>
      </c>
      <c r="E289">
        <v>52.463833116020552</v>
      </c>
      <c r="F289">
        <v>5.4370473450625738</v>
      </c>
      <c r="G289">
        <v>11.96166794263382</v>
      </c>
      <c r="H289">
        <v>0.99479402261221106</v>
      </c>
    </row>
    <row r="290" spans="1:8" x14ac:dyDescent="0.3">
      <c r="A290">
        <f t="shared" si="3"/>
        <v>230</v>
      </c>
      <c r="B290">
        <v>19902029.520562425</v>
      </c>
      <c r="C290">
        <v>119996.32482371335</v>
      </c>
      <c r="D290">
        <v>200.49460450096623</v>
      </c>
      <c r="E290">
        <v>114.7910727705009</v>
      </c>
      <c r="F290">
        <v>3.9561943977630012</v>
      </c>
      <c r="G290">
        <v>8.5969662256659767</v>
      </c>
      <c r="H290">
        <v>0.9827875591174241</v>
      </c>
    </row>
    <row r="291" spans="1:8" x14ac:dyDescent="0.3">
      <c r="A291">
        <f t="shared" si="3"/>
        <v>231</v>
      </c>
      <c r="B291">
        <v>24598022.243873022</v>
      </c>
      <c r="C291">
        <v>120002.21522080933</v>
      </c>
      <c r="D291">
        <v>142.34957856103986</v>
      </c>
      <c r="E291">
        <v>131.18595844016772</v>
      </c>
      <c r="F291">
        <v>5.9076484262980635</v>
      </c>
      <c r="G291">
        <v>5.0891282774398565</v>
      </c>
      <c r="H291">
        <v>0.85915722246919657</v>
      </c>
    </row>
    <row r="292" spans="1:8" x14ac:dyDescent="0.3">
      <c r="A292">
        <f t="shared" si="3"/>
        <v>232</v>
      </c>
      <c r="B292">
        <v>17454907.148009539</v>
      </c>
      <c r="C292">
        <v>120002.93332575957</v>
      </c>
      <c r="D292">
        <v>226.8470299073135</v>
      </c>
      <c r="E292">
        <v>106.25769755642226</v>
      </c>
      <c r="F292">
        <v>4.9660865401580994</v>
      </c>
      <c r="G292">
        <v>11.779280527803593</v>
      </c>
      <c r="H292">
        <v>1.0332444618584016</v>
      </c>
    </row>
    <row r="293" spans="1:8" x14ac:dyDescent="0.3">
      <c r="A293">
        <f t="shared" si="3"/>
        <v>233</v>
      </c>
      <c r="B293">
        <v>12982561.020312406</v>
      </c>
      <c r="C293">
        <v>120003.24438293595</v>
      </c>
      <c r="D293">
        <v>262.19557664415936</v>
      </c>
      <c r="E293">
        <v>111.49663362175316</v>
      </c>
      <c r="F293">
        <v>6.142469681937877</v>
      </c>
      <c r="G293">
        <v>7.6519136739867939</v>
      </c>
      <c r="H293">
        <v>0.92962633646892023</v>
      </c>
    </row>
    <row r="294" spans="1:8" x14ac:dyDescent="0.3">
      <c r="A294">
        <f t="shared" si="3"/>
        <v>234</v>
      </c>
      <c r="B294">
        <v>20637333.13197948</v>
      </c>
      <c r="C294">
        <v>119993.86454638551</v>
      </c>
      <c r="D294">
        <v>172.95071956357242</v>
      </c>
      <c r="E294">
        <v>130.50390094759314</v>
      </c>
      <c r="F294">
        <v>3.3031515284697144</v>
      </c>
      <c r="G294">
        <v>15.104456827194081</v>
      </c>
      <c r="H294">
        <v>0.8694761338814343</v>
      </c>
    </row>
    <row r="295" spans="1:8" x14ac:dyDescent="0.3">
      <c r="A295">
        <f t="shared" si="3"/>
        <v>235</v>
      </c>
      <c r="B295">
        <v>15118642.433835573</v>
      </c>
      <c r="C295">
        <v>119997.99079971094</v>
      </c>
      <c r="D295">
        <v>256.71164408106245</v>
      </c>
      <c r="E295">
        <v>99.361678070213969</v>
      </c>
      <c r="F295">
        <v>8.0156799555500946</v>
      </c>
      <c r="G295">
        <v>3.6763995493135777</v>
      </c>
      <c r="H295">
        <v>1.0824572984206655</v>
      </c>
    </row>
    <row r="296" spans="1:8" x14ac:dyDescent="0.3">
      <c r="A296">
        <f t="shared" si="3"/>
        <v>236</v>
      </c>
      <c r="B296">
        <v>23220231.31072364</v>
      </c>
      <c r="C296">
        <v>120002.26954081649</v>
      </c>
      <c r="D296">
        <v>184.48414726717593</v>
      </c>
      <c r="E296">
        <v>106.65491957765356</v>
      </c>
      <c r="F296">
        <v>4.7841932981716511</v>
      </c>
      <c r="G296">
        <v>4.4087687566971976</v>
      </c>
      <c r="H296">
        <v>1.0982683558508297</v>
      </c>
    </row>
    <row r="297" spans="1:8" x14ac:dyDescent="0.3">
      <c r="A297">
        <f t="shared" si="3"/>
        <v>237</v>
      </c>
      <c r="B297">
        <v>30719992.26923478</v>
      </c>
      <c r="C297">
        <v>119998.87223872892</v>
      </c>
      <c r="D297">
        <v>118.13059023028723</v>
      </c>
      <c r="E297">
        <v>100.78044268770874</v>
      </c>
      <c r="F297">
        <v>5.4227968022878308</v>
      </c>
      <c r="G297">
        <v>7.1261726452869549</v>
      </c>
      <c r="H297">
        <v>0.99481106324269464</v>
      </c>
    </row>
    <row r="298" spans="1:8" x14ac:dyDescent="0.3">
      <c r="A298">
        <f t="shared" si="3"/>
        <v>238</v>
      </c>
      <c r="B298">
        <v>32311058.270666584</v>
      </c>
      <c r="C298">
        <v>119994.81256186707</v>
      </c>
      <c r="D298">
        <v>117.25905362682289</v>
      </c>
      <c r="E298">
        <v>83.099205671465398</v>
      </c>
      <c r="F298">
        <v>6.8462876295031068</v>
      </c>
      <c r="G298">
        <v>8.5051137621275146</v>
      </c>
      <c r="H298">
        <v>0.91554810987953639</v>
      </c>
    </row>
    <row r="299" spans="1:8" x14ac:dyDescent="0.3">
      <c r="A299">
        <f t="shared" si="3"/>
        <v>239</v>
      </c>
      <c r="B299">
        <v>14171037.932248145</v>
      </c>
      <c r="C299">
        <v>120000.00684736265</v>
      </c>
      <c r="D299">
        <v>245.97380198632928</v>
      </c>
      <c r="E299">
        <v>111.74747034577553</v>
      </c>
      <c r="F299">
        <v>7.2225800566879785</v>
      </c>
      <c r="G299">
        <v>11.566198020868978</v>
      </c>
      <c r="H299">
        <v>1.0680473837570974</v>
      </c>
    </row>
    <row r="300" spans="1:8" x14ac:dyDescent="0.3">
      <c r="A300">
        <f t="shared" si="3"/>
        <v>240</v>
      </c>
      <c r="B300">
        <v>23593245.4987427</v>
      </c>
      <c r="C300">
        <v>119997.49178617749</v>
      </c>
      <c r="D300">
        <v>203.0743773479212</v>
      </c>
      <c r="E300">
        <v>81.943680457214512</v>
      </c>
      <c r="F300">
        <v>0</v>
      </c>
      <c r="G300">
        <v>14.013382756600034</v>
      </c>
      <c r="H300">
        <v>0.87530710668578537</v>
      </c>
    </row>
    <row r="301" spans="1:8" x14ac:dyDescent="0.3">
      <c r="A301">
        <f t="shared" si="3"/>
        <v>241</v>
      </c>
      <c r="B301">
        <v>27948167.947141908</v>
      </c>
      <c r="C301">
        <v>119997.14093055158</v>
      </c>
      <c r="D301">
        <v>144.62041905961814</v>
      </c>
      <c r="E301">
        <v>103.65193181975896</v>
      </c>
      <c r="F301">
        <v>0.60303887564911474</v>
      </c>
      <c r="G301">
        <v>6.0367616312363754</v>
      </c>
      <c r="H301">
        <v>0.97373945066959022</v>
      </c>
    </row>
    <row r="302" spans="1:8" x14ac:dyDescent="0.3">
      <c r="A302">
        <f t="shared" si="3"/>
        <v>242</v>
      </c>
      <c r="B302">
        <v>16215581.277919136</v>
      </c>
      <c r="C302">
        <v>119998.90492555815</v>
      </c>
      <c r="D302">
        <v>230.62098214631825</v>
      </c>
      <c r="E302">
        <v>115.75336702375832</v>
      </c>
      <c r="F302">
        <v>7.2166495425377146</v>
      </c>
      <c r="G302">
        <v>7.8580955999183528</v>
      </c>
      <c r="H302">
        <v>1.104177215123048</v>
      </c>
    </row>
    <row r="303" spans="1:8" x14ac:dyDescent="0.3">
      <c r="A303">
        <f t="shared" si="3"/>
        <v>243</v>
      </c>
      <c r="B303">
        <v>20621492.396255739</v>
      </c>
      <c r="C303">
        <v>120002.85361348461</v>
      </c>
      <c r="D303">
        <v>194.57554212856442</v>
      </c>
      <c r="E303">
        <v>110.65878416619333</v>
      </c>
      <c r="F303">
        <v>3.7466952765870296</v>
      </c>
      <c r="G303">
        <v>13.01408888271178</v>
      </c>
      <c r="H303">
        <v>0.99735737013628434</v>
      </c>
    </row>
    <row r="304" spans="1:8" x14ac:dyDescent="0.3">
      <c r="A304">
        <f t="shared" si="3"/>
        <v>244</v>
      </c>
      <c r="B304">
        <v>30766537.484813325</v>
      </c>
      <c r="C304">
        <v>119997.30717031051</v>
      </c>
      <c r="D304">
        <v>121.10188927088188</v>
      </c>
      <c r="E304">
        <v>99.58388052897007</v>
      </c>
      <c r="F304">
        <v>2.8034638891874724</v>
      </c>
      <c r="G304">
        <v>9.1253960134264904</v>
      </c>
      <c r="H304">
        <v>0.96928579250807723</v>
      </c>
    </row>
    <row r="305" spans="1:8" x14ac:dyDescent="0.3">
      <c r="A305">
        <f t="shared" si="3"/>
        <v>245</v>
      </c>
      <c r="B305">
        <v>12248778.882514618</v>
      </c>
      <c r="C305">
        <v>120001.25334377932</v>
      </c>
      <c r="D305">
        <v>267.30455301556873</v>
      </c>
      <c r="E305">
        <v>104.60236273582954</v>
      </c>
      <c r="F305">
        <v>7.3397223281432176</v>
      </c>
      <c r="G305">
        <v>12.554947545803451</v>
      </c>
      <c r="H305">
        <v>0.92460376060692728</v>
      </c>
    </row>
    <row r="306" spans="1:8" x14ac:dyDescent="0.3">
      <c r="A306">
        <f t="shared" si="3"/>
        <v>246</v>
      </c>
      <c r="B306">
        <v>24553292.075250857</v>
      </c>
      <c r="C306">
        <v>119992.19394713301</v>
      </c>
      <c r="D306">
        <v>158.30011803968273</v>
      </c>
      <c r="E306">
        <v>114.67224180429267</v>
      </c>
      <c r="F306">
        <v>6.6436394302672017</v>
      </c>
      <c r="G306">
        <v>11.363470070395822</v>
      </c>
      <c r="H306">
        <v>0.86972575813006392</v>
      </c>
    </row>
    <row r="307" spans="1:8" x14ac:dyDescent="0.3">
      <c r="A307">
        <f t="shared" si="3"/>
        <v>247</v>
      </c>
      <c r="B307">
        <v>16197336.031323306</v>
      </c>
      <c r="C307">
        <v>119999.18232147608</v>
      </c>
      <c r="D307">
        <v>248.55864298976181</v>
      </c>
      <c r="E307">
        <v>91.989852777213542</v>
      </c>
      <c r="F307">
        <v>6.6879065445582508</v>
      </c>
      <c r="G307">
        <v>10.640988445860684</v>
      </c>
      <c r="H307">
        <v>0.93100400223641822</v>
      </c>
    </row>
    <row r="308" spans="1:8" x14ac:dyDescent="0.3">
      <c r="A308">
        <f t="shared" si="3"/>
        <v>248</v>
      </c>
      <c r="B308">
        <v>22293810.381592862</v>
      </c>
      <c r="C308">
        <v>120000.31128018397</v>
      </c>
      <c r="D308">
        <v>179.42041605336397</v>
      </c>
      <c r="E308">
        <v>106.50343557951773</v>
      </c>
      <c r="F308">
        <v>4.9823932166803466</v>
      </c>
      <c r="G308">
        <v>12.688159790817062</v>
      </c>
      <c r="H308">
        <v>0.94202225571641562</v>
      </c>
    </row>
    <row r="309" spans="1:8" x14ac:dyDescent="0.3">
      <c r="A309">
        <f t="shared" si="3"/>
        <v>249</v>
      </c>
      <c r="B309">
        <v>19799723.842295296</v>
      </c>
      <c r="C309">
        <v>119994.87687337314</v>
      </c>
      <c r="D309">
        <v>189.81340920220967</v>
      </c>
      <c r="E309">
        <v>124.15147637069012</v>
      </c>
      <c r="F309">
        <v>4.2792924567077053</v>
      </c>
      <c r="G309">
        <v>13.837280325878284</v>
      </c>
      <c r="H309">
        <v>1.0336929861709492</v>
      </c>
    </row>
    <row r="310" spans="1:8" x14ac:dyDescent="0.3">
      <c r="A310">
        <f t="shared" si="3"/>
        <v>250</v>
      </c>
      <c r="B310">
        <v>28217190.290063027</v>
      </c>
      <c r="C310">
        <v>119997.57982655658</v>
      </c>
      <c r="D310">
        <v>167.23512628808584</v>
      </c>
      <c r="E310">
        <v>73.890321784035052</v>
      </c>
      <c r="F310">
        <v>4.363932501980301</v>
      </c>
      <c r="G310">
        <v>10.39101470529841</v>
      </c>
      <c r="H310">
        <v>0.89994888639328474</v>
      </c>
    </row>
    <row r="311" spans="1:8" x14ac:dyDescent="0.3">
      <c r="A311">
        <f t="shared" si="3"/>
        <v>251</v>
      </c>
      <c r="B311">
        <v>20610113.769902952</v>
      </c>
      <c r="C311">
        <v>119998.81346486238</v>
      </c>
      <c r="D311">
        <v>185.89507827149788</v>
      </c>
      <c r="E311">
        <v>127.10397554128642</v>
      </c>
      <c r="F311">
        <v>2.6686266936596836</v>
      </c>
      <c r="G311">
        <v>9.7100860874964088</v>
      </c>
      <c r="H311">
        <v>1.0259582156299394</v>
      </c>
    </row>
    <row r="312" spans="1:8" x14ac:dyDescent="0.3">
      <c r="A312">
        <f t="shared" si="3"/>
        <v>252</v>
      </c>
      <c r="B312">
        <v>15782081.783871867</v>
      </c>
      <c r="C312">
        <v>119996.36092628805</v>
      </c>
      <c r="D312">
        <v>226.28443112647571</v>
      </c>
      <c r="E312">
        <v>125.12415683300763</v>
      </c>
      <c r="F312">
        <v>3.2316484567158428</v>
      </c>
      <c r="G312">
        <v>11.481857848090959</v>
      </c>
      <c r="H312">
        <v>0.96999439493696071</v>
      </c>
    </row>
    <row r="313" spans="1:8" x14ac:dyDescent="0.3">
      <c r="A313">
        <f t="shared" si="3"/>
        <v>253</v>
      </c>
      <c r="B313">
        <v>23956421.112627588</v>
      </c>
      <c r="C313">
        <v>119997.81006144139</v>
      </c>
      <c r="D313">
        <v>182.40301692218821</v>
      </c>
      <c r="E313">
        <v>96.637596865965449</v>
      </c>
      <c r="F313">
        <v>5.9849765714306074</v>
      </c>
      <c r="G313">
        <v>11.995500182582093</v>
      </c>
      <c r="H313">
        <v>0.99658351056439476</v>
      </c>
    </row>
    <row r="314" spans="1:8" x14ac:dyDescent="0.3">
      <c r="A314">
        <f t="shared" si="3"/>
        <v>254</v>
      </c>
      <c r="B314">
        <v>21208498.720272854</v>
      </c>
      <c r="C314">
        <v>120001.58199932822</v>
      </c>
      <c r="D314">
        <v>175.42641754960044</v>
      </c>
      <c r="E314">
        <v>128.63336600802609</v>
      </c>
      <c r="F314">
        <v>4.2819030465871437</v>
      </c>
      <c r="G314">
        <v>8.1189989763158241</v>
      </c>
      <c r="H314">
        <v>1.0937747585065789</v>
      </c>
    </row>
    <row r="315" spans="1:8" x14ac:dyDescent="0.3">
      <c r="A315">
        <f t="shared" si="3"/>
        <v>255</v>
      </c>
      <c r="B315">
        <v>24840504.757798597</v>
      </c>
      <c r="C315">
        <v>120001.39849094546</v>
      </c>
      <c r="D315">
        <v>146.727502383022</v>
      </c>
      <c r="E315">
        <v>118.3758480893746</v>
      </c>
      <c r="F315">
        <v>4.8264926014922311</v>
      </c>
      <c r="G315">
        <v>13.728588911417425</v>
      </c>
      <c r="H315">
        <v>1.0116624053857348</v>
      </c>
    </row>
    <row r="316" spans="1:8" x14ac:dyDescent="0.3">
      <c r="A316">
        <f t="shared" si="3"/>
        <v>256</v>
      </c>
      <c r="B316">
        <v>18476392.752246536</v>
      </c>
      <c r="C316">
        <v>119998.16463905595</v>
      </c>
      <c r="D316">
        <v>222.67334632925275</v>
      </c>
      <c r="E316">
        <v>101.42690374080659</v>
      </c>
      <c r="F316">
        <v>7.8489213682143539</v>
      </c>
      <c r="G316">
        <v>10.999014780098342</v>
      </c>
      <c r="H316">
        <v>0.9410277583303952</v>
      </c>
    </row>
    <row r="317" spans="1:8" x14ac:dyDescent="0.3">
      <c r="A317">
        <f t="shared" si="3"/>
        <v>257</v>
      </c>
      <c r="B317">
        <v>22059414.757629119</v>
      </c>
      <c r="C317">
        <v>119995.75283337112</v>
      </c>
      <c r="D317">
        <v>185.16237081358128</v>
      </c>
      <c r="E317">
        <v>115.94338402648998</v>
      </c>
      <c r="F317">
        <v>2.5370025301150081</v>
      </c>
      <c r="G317">
        <v>8.6247947738989623</v>
      </c>
      <c r="H317">
        <v>0.95646887435639394</v>
      </c>
    </row>
    <row r="318" spans="1:8" x14ac:dyDescent="0.3">
      <c r="A318">
        <f t="shared" si="3"/>
        <v>258</v>
      </c>
      <c r="B318">
        <v>21423320.834279127</v>
      </c>
      <c r="C318">
        <v>120001.57057539723</v>
      </c>
      <c r="D318">
        <v>235.42997512011942</v>
      </c>
      <c r="E318">
        <v>68.075766406779294</v>
      </c>
      <c r="F318">
        <v>5.3161922528743082</v>
      </c>
      <c r="G318">
        <v>9.396873051631502</v>
      </c>
      <c r="H318">
        <v>1.07158659775403</v>
      </c>
    </row>
    <row r="319" spans="1:8" x14ac:dyDescent="0.3">
      <c r="A319">
        <f t="shared" ref="A319:A382" si="4">A318+1</f>
        <v>259</v>
      </c>
      <c r="B319">
        <v>18438604.291853867</v>
      </c>
      <c r="C319">
        <v>120004.05362026676</v>
      </c>
      <c r="D319">
        <v>212.53958049064892</v>
      </c>
      <c r="E319">
        <v>113.65910009111933</v>
      </c>
      <c r="F319">
        <v>1.2696315556291897</v>
      </c>
      <c r="G319">
        <v>10.203989551908698</v>
      </c>
      <c r="H319">
        <v>0.86431249534095789</v>
      </c>
    </row>
    <row r="320" spans="1:8" x14ac:dyDescent="0.3">
      <c r="A320">
        <f t="shared" si="4"/>
        <v>260</v>
      </c>
      <c r="B320">
        <v>24118236.050058533</v>
      </c>
      <c r="C320">
        <v>119997.5477954103</v>
      </c>
      <c r="D320">
        <v>181.10594440997011</v>
      </c>
      <c r="E320">
        <v>85.871596345388994</v>
      </c>
      <c r="F320">
        <v>6.0357458399705317</v>
      </c>
      <c r="G320">
        <v>14.553951506892634</v>
      </c>
      <c r="H320">
        <v>1.1593676636695336</v>
      </c>
    </row>
    <row r="321" spans="1:8" x14ac:dyDescent="0.3">
      <c r="A321">
        <f t="shared" si="4"/>
        <v>261</v>
      </c>
      <c r="B321">
        <v>18975016.68375542</v>
      </c>
      <c r="C321">
        <v>120004.5747832745</v>
      </c>
      <c r="D321">
        <v>242.80322625832113</v>
      </c>
      <c r="E321">
        <v>75.394942096402872</v>
      </c>
      <c r="F321">
        <v>2.8313197468300326</v>
      </c>
      <c r="G321">
        <v>15.815788383518903</v>
      </c>
      <c r="H321">
        <v>1.0359492245129132</v>
      </c>
    </row>
    <row r="322" spans="1:8" x14ac:dyDescent="0.3">
      <c r="A322">
        <f t="shared" si="4"/>
        <v>262</v>
      </c>
      <c r="B322">
        <v>16283997.64750509</v>
      </c>
      <c r="C322">
        <v>120001.58055831966</v>
      </c>
      <c r="D322">
        <v>239.56454737926327</v>
      </c>
      <c r="E322">
        <v>110.42283520938253</v>
      </c>
      <c r="F322">
        <v>3.5434238760606918</v>
      </c>
      <c r="G322">
        <v>6.0638011217162768</v>
      </c>
      <c r="H322">
        <v>1.2030521709113768</v>
      </c>
    </row>
    <row r="323" spans="1:8" x14ac:dyDescent="0.3">
      <c r="A323">
        <f t="shared" si="4"/>
        <v>263</v>
      </c>
      <c r="B323">
        <v>21377726.322523616</v>
      </c>
      <c r="C323">
        <v>119991.16672886293</v>
      </c>
      <c r="D323">
        <v>208.41838800500895</v>
      </c>
      <c r="E323">
        <v>97.018790860422158</v>
      </c>
      <c r="F323">
        <v>1.7827818752370046</v>
      </c>
      <c r="G323">
        <v>11.888874271861074</v>
      </c>
      <c r="H323">
        <v>0.99386920195024697</v>
      </c>
    </row>
    <row r="324" spans="1:8" x14ac:dyDescent="0.3">
      <c r="A324">
        <f t="shared" si="4"/>
        <v>264</v>
      </c>
      <c r="B324">
        <v>23181555.536909074</v>
      </c>
      <c r="C324">
        <v>119998.68823091305</v>
      </c>
      <c r="D324">
        <v>149.42447702937477</v>
      </c>
      <c r="E324">
        <v>131.66066674095458</v>
      </c>
      <c r="F324">
        <v>7.8620882471980327</v>
      </c>
      <c r="G324">
        <v>8.9259750552595012</v>
      </c>
      <c r="H324">
        <v>1.1345267218969322</v>
      </c>
    </row>
    <row r="325" spans="1:8" x14ac:dyDescent="0.3">
      <c r="A325">
        <f t="shared" si="4"/>
        <v>265</v>
      </c>
      <c r="B325">
        <v>26270988.508490458</v>
      </c>
      <c r="C325">
        <v>119999.75509245999</v>
      </c>
      <c r="D325">
        <v>147.60213349933383</v>
      </c>
      <c r="E325">
        <v>107.28744982346996</v>
      </c>
      <c r="F325">
        <v>4.4500481817936688</v>
      </c>
      <c r="G325">
        <v>14.395468070015971</v>
      </c>
      <c r="H325">
        <v>0.88821485959483359</v>
      </c>
    </row>
    <row r="326" spans="1:8" x14ac:dyDescent="0.3">
      <c r="A326">
        <f t="shared" si="4"/>
        <v>266</v>
      </c>
      <c r="B326">
        <v>16471874.595734678</v>
      </c>
      <c r="C326">
        <v>119996.462208072</v>
      </c>
      <c r="D326">
        <v>244.95170330882172</v>
      </c>
      <c r="E326">
        <v>96.738417199020375</v>
      </c>
      <c r="F326">
        <v>4.3610226624827257</v>
      </c>
      <c r="G326">
        <v>13.181793632243929</v>
      </c>
      <c r="H326">
        <v>1.1056135377695617</v>
      </c>
    </row>
    <row r="327" spans="1:8" x14ac:dyDescent="0.3">
      <c r="A327">
        <f t="shared" si="4"/>
        <v>267</v>
      </c>
      <c r="B327">
        <v>24794207.206451796</v>
      </c>
      <c r="C327">
        <v>119999.05894619292</v>
      </c>
      <c r="D327">
        <v>188.49828228353186</v>
      </c>
      <c r="E327">
        <v>85.079701680253706</v>
      </c>
      <c r="F327">
        <v>5.2422496756887655</v>
      </c>
      <c r="G327">
        <v>10.365268731321224</v>
      </c>
      <c r="H327">
        <v>0.84237665400835515</v>
      </c>
    </row>
    <row r="328" spans="1:8" x14ac:dyDescent="0.3">
      <c r="A328">
        <f t="shared" si="4"/>
        <v>268</v>
      </c>
      <c r="B328">
        <v>21329128.716586627</v>
      </c>
      <c r="C328">
        <v>120008.42897257413</v>
      </c>
      <c r="D328">
        <v>219.63633508680249</v>
      </c>
      <c r="E328">
        <v>84.515476733850662</v>
      </c>
      <c r="F328">
        <v>2.1511334578363197</v>
      </c>
      <c r="G328">
        <v>6.7525559219709095</v>
      </c>
      <c r="H328">
        <v>0.98355531820221054</v>
      </c>
    </row>
    <row r="329" spans="1:8" x14ac:dyDescent="0.3">
      <c r="A329">
        <f t="shared" si="4"/>
        <v>269</v>
      </c>
      <c r="B329">
        <v>15362708.712053582</v>
      </c>
      <c r="C329">
        <v>120002.22354454341</v>
      </c>
      <c r="D329">
        <v>202.19672653135356</v>
      </c>
      <c r="E329">
        <v>147.04025332734076</v>
      </c>
      <c r="F329">
        <v>5.9396421917736504</v>
      </c>
      <c r="G329">
        <v>11.460341586501514</v>
      </c>
      <c r="H329">
        <v>1.1553767523129832</v>
      </c>
    </row>
    <row r="330" spans="1:8" x14ac:dyDescent="0.3">
      <c r="A330">
        <f t="shared" si="4"/>
        <v>270</v>
      </c>
      <c r="B330">
        <v>16891631.920578472</v>
      </c>
      <c r="C330">
        <v>119996.83269123331</v>
      </c>
      <c r="D330">
        <v>248.30229077796608</v>
      </c>
      <c r="E330">
        <v>94.735216002331171</v>
      </c>
      <c r="F330">
        <v>4.6584047188310729</v>
      </c>
      <c r="G330">
        <v>9.205710030904168</v>
      </c>
      <c r="H330">
        <v>1.1118630187403442</v>
      </c>
    </row>
    <row r="331" spans="1:8" x14ac:dyDescent="0.3">
      <c r="A331">
        <f t="shared" si="4"/>
        <v>271</v>
      </c>
      <c r="B331">
        <v>20502376.066105314</v>
      </c>
      <c r="C331">
        <v>120003.08468279616</v>
      </c>
      <c r="D331">
        <v>209.68670976749931</v>
      </c>
      <c r="E331">
        <v>97.052908522650327</v>
      </c>
      <c r="F331">
        <v>7.8105207260059926</v>
      </c>
      <c r="G331">
        <v>8.9200583815414145</v>
      </c>
      <c r="H331">
        <v>1.0415502665460086</v>
      </c>
    </row>
    <row r="332" spans="1:8" x14ac:dyDescent="0.3">
      <c r="A332">
        <f t="shared" si="4"/>
        <v>272</v>
      </c>
      <c r="B332">
        <v>16430095.044941716</v>
      </c>
      <c r="C332">
        <v>119997.950916042</v>
      </c>
      <c r="D332">
        <v>205.62719876558702</v>
      </c>
      <c r="E332">
        <v>134.8083372707724</v>
      </c>
      <c r="F332">
        <v>4.8851213474584663</v>
      </c>
      <c r="G332">
        <v>13.001103062558652</v>
      </c>
      <c r="H332">
        <v>0.9903166107553274</v>
      </c>
    </row>
    <row r="333" spans="1:8" x14ac:dyDescent="0.3">
      <c r="A333">
        <f t="shared" si="4"/>
        <v>273</v>
      </c>
      <c r="B333">
        <v>13833410.188419141</v>
      </c>
      <c r="C333">
        <v>120002.60757759112</v>
      </c>
      <c r="D333">
        <v>271.31519019415958</v>
      </c>
      <c r="E333">
        <v>99.705419243222323</v>
      </c>
      <c r="F333">
        <v>3.2348844660227694</v>
      </c>
      <c r="G333">
        <v>8.2461526684609634</v>
      </c>
      <c r="H333">
        <v>1.0553665978492219</v>
      </c>
    </row>
    <row r="334" spans="1:8" x14ac:dyDescent="0.3">
      <c r="A334">
        <f t="shared" si="4"/>
        <v>274</v>
      </c>
      <c r="B334">
        <v>11155613.521517187</v>
      </c>
      <c r="C334">
        <v>120001.30952590535</v>
      </c>
      <c r="D334">
        <v>252.14386859502818</v>
      </c>
      <c r="E334">
        <v>131.83812763296999</v>
      </c>
      <c r="F334">
        <v>5.8420654259399063</v>
      </c>
      <c r="G334">
        <v>14.630498034495336</v>
      </c>
      <c r="H334">
        <v>1.0321350119295156</v>
      </c>
    </row>
    <row r="335" spans="1:8" x14ac:dyDescent="0.3">
      <c r="A335">
        <f t="shared" si="4"/>
        <v>275</v>
      </c>
      <c r="B335">
        <v>21475790.050236538</v>
      </c>
      <c r="C335">
        <v>119996.6652446847</v>
      </c>
      <c r="D335">
        <v>226.58613299938418</v>
      </c>
      <c r="E335">
        <v>70.408514374991114</v>
      </c>
      <c r="F335">
        <v>8.0457601031050938</v>
      </c>
      <c r="G335">
        <v>9.0325354022366184</v>
      </c>
      <c r="H335">
        <v>1.0245528720761932</v>
      </c>
    </row>
    <row r="336" spans="1:8" x14ac:dyDescent="0.3">
      <c r="A336">
        <f t="shared" si="4"/>
        <v>276</v>
      </c>
      <c r="B336">
        <v>17932679.762451783</v>
      </c>
      <c r="C336">
        <v>119998.22364570384</v>
      </c>
      <c r="D336">
        <v>209.01404660502098</v>
      </c>
      <c r="E336">
        <v>114.01749406389227</v>
      </c>
      <c r="F336">
        <v>5.708193682211804</v>
      </c>
      <c r="G336">
        <v>13.842658597491379</v>
      </c>
      <c r="H336">
        <v>1.1549131330901996</v>
      </c>
    </row>
    <row r="337" spans="1:8" x14ac:dyDescent="0.3">
      <c r="A337">
        <f t="shared" si="4"/>
        <v>277</v>
      </c>
      <c r="B337">
        <v>17836376.127360083</v>
      </c>
      <c r="C337">
        <v>119998.73293145261</v>
      </c>
      <c r="D337">
        <v>222.85726657743174</v>
      </c>
      <c r="E337">
        <v>104.41943251810848</v>
      </c>
      <c r="F337">
        <v>5.6718397922997577</v>
      </c>
      <c r="G337">
        <v>13.350760831364262</v>
      </c>
      <c r="H337">
        <v>1.0033020465540543</v>
      </c>
    </row>
    <row r="338" spans="1:8" x14ac:dyDescent="0.3">
      <c r="A338">
        <f t="shared" si="4"/>
        <v>278</v>
      </c>
      <c r="B338">
        <v>27878367.254501328</v>
      </c>
      <c r="C338">
        <v>119996.32961236691</v>
      </c>
      <c r="D338">
        <v>118.83720449711468</v>
      </c>
      <c r="E338">
        <v>121.31803272178438</v>
      </c>
      <c r="F338">
        <v>7.4860288545211677</v>
      </c>
      <c r="G338">
        <v>12.841548625465943</v>
      </c>
      <c r="H338">
        <v>1.0267964736150752</v>
      </c>
    </row>
    <row r="339" spans="1:8" x14ac:dyDescent="0.3">
      <c r="A339">
        <f t="shared" si="4"/>
        <v>279</v>
      </c>
      <c r="B339">
        <v>16921035.123144232</v>
      </c>
      <c r="C339">
        <v>119995.41589418094</v>
      </c>
      <c r="D339">
        <v>243.42062099486097</v>
      </c>
      <c r="E339">
        <v>95.920808644244786</v>
      </c>
      <c r="F339">
        <v>4.9835221763039659</v>
      </c>
      <c r="G339">
        <v>9.0273317815006386</v>
      </c>
      <c r="H339">
        <v>0.98920884289713973</v>
      </c>
    </row>
    <row r="340" spans="1:8" x14ac:dyDescent="0.3">
      <c r="A340">
        <f t="shared" si="4"/>
        <v>280</v>
      </c>
      <c r="B340">
        <v>24131651.461899605</v>
      </c>
      <c r="C340">
        <v>120001.78973811677</v>
      </c>
      <c r="D340">
        <v>183.84506428542349</v>
      </c>
      <c r="E340">
        <v>89.044936234169043</v>
      </c>
      <c r="F340">
        <v>3.6424924148506994</v>
      </c>
      <c r="G340">
        <v>11.002620318175264</v>
      </c>
      <c r="H340">
        <v>1.0102312342131488</v>
      </c>
    </row>
    <row r="341" spans="1:8" x14ac:dyDescent="0.3">
      <c r="A341">
        <f t="shared" si="4"/>
        <v>281</v>
      </c>
      <c r="B341">
        <v>19665758.217970416</v>
      </c>
      <c r="C341">
        <v>120003.2326282392</v>
      </c>
      <c r="D341">
        <v>227.85708441509416</v>
      </c>
      <c r="E341">
        <v>83.888139490745019</v>
      </c>
      <c r="F341">
        <v>7.2007205736763069</v>
      </c>
      <c r="G341">
        <v>14.103001458726744</v>
      </c>
      <c r="H341">
        <v>1.2139811433122965</v>
      </c>
    </row>
    <row r="342" spans="1:8" x14ac:dyDescent="0.3">
      <c r="A342">
        <f t="shared" si="4"/>
        <v>282</v>
      </c>
      <c r="B342">
        <v>28249636.598659407</v>
      </c>
      <c r="C342">
        <v>119998.21143733124</v>
      </c>
      <c r="D342">
        <v>165.86220782150454</v>
      </c>
      <c r="E342">
        <v>82.358978096170262</v>
      </c>
      <c r="F342">
        <v>4.4020590157239301</v>
      </c>
      <c r="G342">
        <v>8.4224050150776186</v>
      </c>
      <c r="H342">
        <v>0.97836466256906485</v>
      </c>
    </row>
    <row r="343" spans="1:8" x14ac:dyDescent="0.3">
      <c r="A343">
        <f t="shared" si="4"/>
        <v>283</v>
      </c>
      <c r="B343">
        <v>19197505.927602828</v>
      </c>
      <c r="C343">
        <v>120000.27564043643</v>
      </c>
      <c r="D343">
        <v>227.15326187520643</v>
      </c>
      <c r="E343">
        <v>88.74973724459565</v>
      </c>
      <c r="F343">
        <v>5.364485435150689</v>
      </c>
      <c r="G343">
        <v>11.584797680580003</v>
      </c>
      <c r="H343">
        <v>0.98107737662051298</v>
      </c>
    </row>
    <row r="344" spans="1:8" x14ac:dyDescent="0.3">
      <c r="A344">
        <f t="shared" si="4"/>
        <v>284</v>
      </c>
      <c r="B344">
        <v>13142429.192960391</v>
      </c>
      <c r="C344">
        <v>60000.484508311893</v>
      </c>
      <c r="D344">
        <v>149.52644929551602</v>
      </c>
      <c r="E344">
        <v>109.83663941858735</v>
      </c>
      <c r="F344">
        <v>5.4876016472461089</v>
      </c>
      <c r="G344">
        <v>11.566058285862837</v>
      </c>
      <c r="H344">
        <v>0.86148280928956045</v>
      </c>
    </row>
    <row r="345" spans="1:8" x14ac:dyDescent="0.3">
      <c r="A345">
        <f t="shared" si="4"/>
        <v>285</v>
      </c>
      <c r="B345">
        <v>12655498.823188849</v>
      </c>
      <c r="C345">
        <v>119997.25395945382</v>
      </c>
      <c r="D345">
        <v>257.81271085408122</v>
      </c>
      <c r="E345">
        <v>114.77440696378518</v>
      </c>
      <c r="F345">
        <v>4.8675292984351355</v>
      </c>
      <c r="G345">
        <v>11.762788099944895</v>
      </c>
      <c r="H345">
        <v>1.1544608476633376</v>
      </c>
    </row>
    <row r="346" spans="1:8" x14ac:dyDescent="0.3">
      <c r="A346">
        <f t="shared" si="4"/>
        <v>286</v>
      </c>
      <c r="B346">
        <v>25288900.945713699</v>
      </c>
      <c r="C346">
        <v>119999.52830290135</v>
      </c>
      <c r="D346">
        <v>153.9917245509242</v>
      </c>
      <c r="E346">
        <v>112.48593788058783</v>
      </c>
      <c r="F346">
        <v>4.4789170593615024</v>
      </c>
      <c r="G346">
        <v>9.51679397771208</v>
      </c>
      <c r="H346">
        <v>1.0544394820793044</v>
      </c>
    </row>
    <row r="347" spans="1:8" x14ac:dyDescent="0.3">
      <c r="A347">
        <f t="shared" si="4"/>
        <v>287</v>
      </c>
      <c r="B347">
        <v>16069240.099839404</v>
      </c>
      <c r="C347">
        <v>119997.41679572406</v>
      </c>
      <c r="D347">
        <v>269.03351839451278</v>
      </c>
      <c r="E347">
        <v>79.792321632111566</v>
      </c>
      <c r="F347">
        <v>6.1690597311811768</v>
      </c>
      <c r="G347">
        <v>8.5401612494632566</v>
      </c>
      <c r="H347">
        <v>0.99365572549409631</v>
      </c>
    </row>
    <row r="348" spans="1:8" x14ac:dyDescent="0.3">
      <c r="A348">
        <f t="shared" si="4"/>
        <v>288</v>
      </c>
      <c r="B348">
        <v>9037084.114188157</v>
      </c>
      <c r="C348">
        <v>59996.228657453568</v>
      </c>
      <c r="D348">
        <v>239.87515755644887</v>
      </c>
      <c r="E348">
        <v>88.282683372225165</v>
      </c>
      <c r="F348">
        <v>3.3217384203594431</v>
      </c>
      <c r="G348">
        <v>8.4489938751681777</v>
      </c>
      <c r="H348">
        <v>1.0074866912134752</v>
      </c>
    </row>
    <row r="349" spans="1:8" x14ac:dyDescent="0.3">
      <c r="A349">
        <f t="shared" si="4"/>
        <v>289</v>
      </c>
      <c r="B349">
        <v>28070659.827287335</v>
      </c>
      <c r="C349">
        <v>120000.3043029245</v>
      </c>
      <c r="D349">
        <v>166.16197721962945</v>
      </c>
      <c r="E349">
        <v>73.602453390605291</v>
      </c>
      <c r="F349">
        <v>9.0260220715858352</v>
      </c>
      <c r="G349">
        <v>10.455827285085528</v>
      </c>
      <c r="H349">
        <v>1.0197812809464895</v>
      </c>
    </row>
    <row r="350" spans="1:8" x14ac:dyDescent="0.3">
      <c r="A350">
        <f t="shared" si="4"/>
        <v>290</v>
      </c>
      <c r="B350">
        <v>15262359.94287049</v>
      </c>
      <c r="C350">
        <v>120000.75423045352</v>
      </c>
      <c r="D350">
        <v>210.91680637501571</v>
      </c>
      <c r="E350">
        <v>139.44962419242063</v>
      </c>
      <c r="F350">
        <v>4.61448271081467</v>
      </c>
      <c r="G350">
        <v>11.375411644310189</v>
      </c>
      <c r="H350">
        <v>0.99267701545663467</v>
      </c>
    </row>
    <row r="351" spans="1:8" x14ac:dyDescent="0.3">
      <c r="A351">
        <f t="shared" si="4"/>
        <v>291</v>
      </c>
      <c r="B351">
        <v>28882540.960280262</v>
      </c>
      <c r="C351">
        <v>120002.47943156792</v>
      </c>
      <c r="D351">
        <v>110.03662820511818</v>
      </c>
      <c r="E351">
        <v>126.32872552531757</v>
      </c>
      <c r="F351">
        <v>8.3520151141018779</v>
      </c>
      <c r="G351">
        <v>10.711558736709502</v>
      </c>
      <c r="H351">
        <v>0.81400072234043164</v>
      </c>
    </row>
    <row r="352" spans="1:8" x14ac:dyDescent="0.3">
      <c r="A352">
        <f t="shared" si="4"/>
        <v>292</v>
      </c>
      <c r="B352">
        <v>12340677.548899084</v>
      </c>
      <c r="C352">
        <v>119994.69735460763</v>
      </c>
      <c r="D352">
        <v>262.92155704079181</v>
      </c>
      <c r="E352">
        <v>114.6257389515454</v>
      </c>
      <c r="F352">
        <v>5.3020499756020971</v>
      </c>
      <c r="G352">
        <v>10.330903409899566</v>
      </c>
      <c r="H352">
        <v>1.088682212457758</v>
      </c>
    </row>
    <row r="353" spans="1:8" x14ac:dyDescent="0.3">
      <c r="A353">
        <f t="shared" si="4"/>
        <v>293</v>
      </c>
      <c r="B353">
        <v>28131082.464527395</v>
      </c>
      <c r="C353">
        <v>119995.27054443756</v>
      </c>
      <c r="D353">
        <v>144.70655735258475</v>
      </c>
      <c r="E353">
        <v>98.408127277274303</v>
      </c>
      <c r="F353">
        <v>3.2188174797476488</v>
      </c>
      <c r="G353">
        <v>9.0667252174051463</v>
      </c>
      <c r="H353">
        <v>1.0442229272452399</v>
      </c>
    </row>
    <row r="354" spans="1:8" x14ac:dyDescent="0.3">
      <c r="A354">
        <f t="shared" si="4"/>
        <v>294</v>
      </c>
      <c r="B354">
        <v>28848805.32138966</v>
      </c>
      <c r="C354">
        <v>119999.99939305118</v>
      </c>
      <c r="D354">
        <v>159.90092893928016</v>
      </c>
      <c r="E354">
        <v>75.453669532144545</v>
      </c>
      <c r="F354">
        <v>3.724522297826443</v>
      </c>
      <c r="G354">
        <v>10.561309927115751</v>
      </c>
      <c r="H354">
        <v>1.0372311615200505</v>
      </c>
    </row>
    <row r="355" spans="1:8" x14ac:dyDescent="0.3">
      <c r="A355">
        <f t="shared" si="4"/>
        <v>295</v>
      </c>
      <c r="B355">
        <v>31713157.610985052</v>
      </c>
      <c r="C355">
        <v>120009.40190396053</v>
      </c>
      <c r="D355">
        <v>136.24486216899322</v>
      </c>
      <c r="E355">
        <v>78.254595829953033</v>
      </c>
      <c r="F355">
        <v>8.590978391709406</v>
      </c>
      <c r="G355">
        <v>5.2358726555803683</v>
      </c>
      <c r="H355">
        <v>1.0615490694074536</v>
      </c>
    </row>
    <row r="356" spans="1:8" x14ac:dyDescent="0.3">
      <c r="A356">
        <f t="shared" si="4"/>
        <v>296</v>
      </c>
      <c r="B356">
        <v>18064914.894088574</v>
      </c>
      <c r="C356">
        <v>119999.1463100938</v>
      </c>
      <c r="D356">
        <v>228.32417547656812</v>
      </c>
      <c r="E356">
        <v>96.968958253975586</v>
      </c>
      <c r="F356">
        <v>4.1462324849227912</v>
      </c>
      <c r="G356">
        <v>11.492894215413539</v>
      </c>
      <c r="H356">
        <v>1.1186715619632841</v>
      </c>
    </row>
    <row r="357" spans="1:8" x14ac:dyDescent="0.3">
      <c r="A357">
        <f t="shared" si="4"/>
        <v>297</v>
      </c>
      <c r="B357">
        <v>26933449.387613755</v>
      </c>
      <c r="C357">
        <v>120004.14296748312</v>
      </c>
      <c r="D357">
        <v>178.30363835808456</v>
      </c>
      <c r="E357">
        <v>77.872580525275282</v>
      </c>
      <c r="F357">
        <v>6.3173243531607763</v>
      </c>
      <c r="G357">
        <v>7.7665057001375253</v>
      </c>
      <c r="H357">
        <v>1.0487480632487098</v>
      </c>
    </row>
    <row r="358" spans="1:8" x14ac:dyDescent="0.3">
      <c r="A358">
        <f t="shared" si="4"/>
        <v>298</v>
      </c>
      <c r="B358">
        <v>17313355.93705257</v>
      </c>
      <c r="C358">
        <v>120005.93483763809</v>
      </c>
      <c r="D358">
        <v>247.41580132202637</v>
      </c>
      <c r="E358">
        <v>92.965622247215919</v>
      </c>
      <c r="F358">
        <v>2.3577540589393586</v>
      </c>
      <c r="G358">
        <v>9.9538152101159216</v>
      </c>
      <c r="H358">
        <v>0.98961255734346731</v>
      </c>
    </row>
    <row r="359" spans="1:8" x14ac:dyDescent="0.3">
      <c r="A359">
        <f t="shared" si="4"/>
        <v>299</v>
      </c>
      <c r="B359">
        <v>23230564.424316771</v>
      </c>
      <c r="C359">
        <v>119999.37618548571</v>
      </c>
      <c r="D359">
        <v>215.18789056119596</v>
      </c>
      <c r="E359">
        <v>73.303272115491296</v>
      </c>
      <c r="F359">
        <v>1.4588316216354196</v>
      </c>
      <c r="G359">
        <v>13.545918694713803</v>
      </c>
      <c r="H359">
        <v>0.96695891703108161</v>
      </c>
    </row>
    <row r="360" spans="1:8" x14ac:dyDescent="0.3">
      <c r="A360">
        <f t="shared" si="4"/>
        <v>300</v>
      </c>
      <c r="B360">
        <v>23169687.993312486</v>
      </c>
      <c r="C360">
        <v>119997.50185598007</v>
      </c>
      <c r="D360">
        <v>177.76476737588064</v>
      </c>
      <c r="E360">
        <v>107.29167715402306</v>
      </c>
      <c r="F360">
        <v>5.2279474841173164</v>
      </c>
      <c r="G360">
        <v>13.201170147539711</v>
      </c>
      <c r="H360">
        <v>0.83677561071388584</v>
      </c>
    </row>
    <row r="361" spans="1:8" x14ac:dyDescent="0.3">
      <c r="A361">
        <f t="shared" si="4"/>
        <v>301</v>
      </c>
      <c r="B361">
        <v>27737678.002192438</v>
      </c>
      <c r="C361">
        <v>120002.63157488556</v>
      </c>
      <c r="D361">
        <v>156.17654991039075</v>
      </c>
      <c r="E361">
        <v>91.159415045576708</v>
      </c>
      <c r="F361">
        <v>5.7590169260132695</v>
      </c>
      <c r="G361">
        <v>11.8466104563451</v>
      </c>
      <c r="H361">
        <v>0.96277978286854815</v>
      </c>
    </row>
    <row r="362" spans="1:8" x14ac:dyDescent="0.3">
      <c r="A362">
        <f t="shared" si="4"/>
        <v>302</v>
      </c>
      <c r="B362">
        <v>34585123.247048937</v>
      </c>
      <c r="C362">
        <v>119995.89201728023</v>
      </c>
      <c r="D362">
        <v>94.535413132027912</v>
      </c>
      <c r="E362">
        <v>83.40938534480199</v>
      </c>
      <c r="F362">
        <v>6.8009452361852993</v>
      </c>
      <c r="G362">
        <v>12.639579178546754</v>
      </c>
      <c r="H362">
        <v>0.75312837321934878</v>
      </c>
    </row>
    <row r="363" spans="1:8" x14ac:dyDescent="0.3">
      <c r="A363">
        <f t="shared" si="4"/>
        <v>303</v>
      </c>
      <c r="B363">
        <v>25618105.401286718</v>
      </c>
      <c r="C363">
        <v>120001.70590264557</v>
      </c>
      <c r="D363">
        <v>180.12596838602465</v>
      </c>
      <c r="E363">
        <v>87.387571906654813</v>
      </c>
      <c r="F363">
        <v>3.2890268199435559</v>
      </c>
      <c r="G363">
        <v>11.750449556918126</v>
      </c>
      <c r="H363">
        <v>1.1011293617926314</v>
      </c>
    </row>
    <row r="364" spans="1:8" x14ac:dyDescent="0.3">
      <c r="A364">
        <f t="shared" si="4"/>
        <v>304</v>
      </c>
      <c r="B364">
        <v>23097936.2971678</v>
      </c>
      <c r="C364">
        <v>119996.4653034349</v>
      </c>
      <c r="D364">
        <v>200.8288941306262</v>
      </c>
      <c r="E364">
        <v>88.318914981777766</v>
      </c>
      <c r="F364">
        <v>4.7787798043645013</v>
      </c>
      <c r="G364">
        <v>8.5411181351397776</v>
      </c>
      <c r="H364">
        <v>0.93627230498728486</v>
      </c>
    </row>
    <row r="365" spans="1:8" x14ac:dyDescent="0.3">
      <c r="A365">
        <f t="shared" si="4"/>
        <v>305</v>
      </c>
      <c r="B365">
        <v>30700442.446413077</v>
      </c>
      <c r="C365">
        <v>119996.65811719438</v>
      </c>
      <c r="D365">
        <v>179.59026178761673</v>
      </c>
      <c r="E365">
        <v>42.432838300109779</v>
      </c>
      <c r="F365">
        <v>6.380068061013759</v>
      </c>
      <c r="G365">
        <v>9.2058833203470183</v>
      </c>
      <c r="H365">
        <v>0.96335244911244533</v>
      </c>
    </row>
    <row r="366" spans="1:8" x14ac:dyDescent="0.3">
      <c r="A366">
        <f t="shared" si="4"/>
        <v>306</v>
      </c>
      <c r="B366">
        <v>18477968.479782343</v>
      </c>
      <c r="C366">
        <v>120002.56547070861</v>
      </c>
      <c r="D366">
        <v>231.71357392231292</v>
      </c>
      <c r="E366">
        <v>86.71885511930445</v>
      </c>
      <c r="F366">
        <v>5.5764799684534889</v>
      </c>
      <c r="G366">
        <v>14.197390130897981</v>
      </c>
      <c r="H366">
        <v>0.9900307044123392</v>
      </c>
    </row>
    <row r="367" spans="1:8" x14ac:dyDescent="0.3">
      <c r="A367">
        <f t="shared" si="4"/>
        <v>307</v>
      </c>
      <c r="B367">
        <v>21750264.175579801</v>
      </c>
      <c r="C367">
        <v>119996.8168724803</v>
      </c>
      <c r="D367">
        <v>207.39832897270236</v>
      </c>
      <c r="E367">
        <v>88.542671543746536</v>
      </c>
      <c r="F367">
        <v>3.969258226664675</v>
      </c>
      <c r="G367">
        <v>9.9708279929906638</v>
      </c>
      <c r="H367">
        <v>0.94462041508573458</v>
      </c>
    </row>
    <row r="368" spans="1:8" x14ac:dyDescent="0.3">
      <c r="A368">
        <f t="shared" si="4"/>
        <v>308</v>
      </c>
      <c r="B368">
        <v>22562178.824958473</v>
      </c>
      <c r="C368">
        <v>119995.12501275068</v>
      </c>
      <c r="D368">
        <v>199.29209011972188</v>
      </c>
      <c r="E368">
        <v>91.432731022613197</v>
      </c>
      <c r="F368">
        <v>4.1371797687868987</v>
      </c>
      <c r="G368">
        <v>9.9705111635385375</v>
      </c>
      <c r="H368">
        <v>1.0897744052689422</v>
      </c>
    </row>
    <row r="369" spans="1:8" x14ac:dyDescent="0.3">
      <c r="A369">
        <f t="shared" si="4"/>
        <v>309</v>
      </c>
      <c r="B369">
        <v>16775140.032361761</v>
      </c>
      <c r="C369">
        <v>120004.54550524312</v>
      </c>
      <c r="D369">
        <v>205.52296672092831</v>
      </c>
      <c r="E369">
        <v>132.37557942255859</v>
      </c>
      <c r="F369">
        <v>7.6821332408956531</v>
      </c>
      <c r="G369">
        <v>11.316863874305563</v>
      </c>
      <c r="H369">
        <v>1.0357380692465208</v>
      </c>
    </row>
    <row r="370" spans="1:8" x14ac:dyDescent="0.3">
      <c r="A370">
        <f t="shared" si="4"/>
        <v>310</v>
      </c>
      <c r="B370">
        <v>13722506.065693147</v>
      </c>
      <c r="C370">
        <v>119991.28601811187</v>
      </c>
      <c r="D370">
        <v>201.26484224225507</v>
      </c>
      <c r="E370">
        <v>164.16363474645772</v>
      </c>
      <c r="F370">
        <v>3.2187499089602323</v>
      </c>
      <c r="G370">
        <v>13.51773685649751</v>
      </c>
      <c r="H370">
        <v>0.99870568174017549</v>
      </c>
    </row>
    <row r="371" spans="1:8" x14ac:dyDescent="0.3">
      <c r="A371">
        <f t="shared" si="4"/>
        <v>311</v>
      </c>
      <c r="B371">
        <v>8223256.9469178095</v>
      </c>
      <c r="C371">
        <v>120001.09634174575</v>
      </c>
      <c r="D371">
        <v>286.54724444702703</v>
      </c>
      <c r="E371">
        <v>129.64106743674404</v>
      </c>
      <c r="F371">
        <v>5.7514026535600191</v>
      </c>
      <c r="G371">
        <v>5.1758234887282102</v>
      </c>
      <c r="H371">
        <v>1.129530411992355</v>
      </c>
    </row>
    <row r="372" spans="1:8" x14ac:dyDescent="0.3">
      <c r="A372">
        <f t="shared" si="4"/>
        <v>312</v>
      </c>
      <c r="B372">
        <v>24694058.496697128</v>
      </c>
      <c r="C372">
        <v>119998.06069367488</v>
      </c>
      <c r="D372">
        <v>213.9939421798189</v>
      </c>
      <c r="E372">
        <v>69.995621934066179</v>
      </c>
      <c r="F372">
        <v>0</v>
      </c>
      <c r="G372">
        <v>6.2451570608286122</v>
      </c>
      <c r="H372">
        <v>1.1291718461062761</v>
      </c>
    </row>
    <row r="373" spans="1:8" x14ac:dyDescent="0.3">
      <c r="A373">
        <f t="shared" si="4"/>
        <v>313</v>
      </c>
      <c r="B373">
        <v>7682534.2282615639</v>
      </c>
      <c r="C373">
        <v>60002.650962075029</v>
      </c>
      <c r="D373">
        <v>225.57118106589496</v>
      </c>
      <c r="E373">
        <v>116.28890900634092</v>
      </c>
      <c r="F373">
        <v>10.894692239076939</v>
      </c>
      <c r="G373">
        <v>15.788598826359447</v>
      </c>
      <c r="H373">
        <v>1.0595406884652365</v>
      </c>
    </row>
    <row r="374" spans="1:8" x14ac:dyDescent="0.3">
      <c r="A374">
        <f t="shared" si="4"/>
        <v>314</v>
      </c>
      <c r="B374">
        <v>16504823.018579302</v>
      </c>
      <c r="C374">
        <v>59997.983847611154</v>
      </c>
      <c r="D374">
        <v>101.85767999984429</v>
      </c>
      <c r="E374">
        <v>97.934150883906895</v>
      </c>
      <c r="F374">
        <v>5.4754200315691461</v>
      </c>
      <c r="G374">
        <v>8.2772333703972834</v>
      </c>
      <c r="H374">
        <v>0.89010654120439081</v>
      </c>
    </row>
    <row r="375" spans="1:8" x14ac:dyDescent="0.3">
      <c r="A375">
        <f t="shared" si="4"/>
        <v>315</v>
      </c>
      <c r="B375">
        <v>27730514.122074276</v>
      </c>
      <c r="C375">
        <v>119998.64195390421</v>
      </c>
      <c r="D375">
        <v>167.05700981784005</v>
      </c>
      <c r="E375">
        <v>78.29020191939351</v>
      </c>
      <c r="F375">
        <v>4.8247413536741286</v>
      </c>
      <c r="G375">
        <v>7.2696924338971591</v>
      </c>
      <c r="H375">
        <v>1.022043393724094</v>
      </c>
    </row>
    <row r="376" spans="1:8" x14ac:dyDescent="0.3">
      <c r="A376">
        <f t="shared" si="4"/>
        <v>316</v>
      </c>
      <c r="B376">
        <v>14176931.29110489</v>
      </c>
      <c r="C376">
        <v>120007.67477182116</v>
      </c>
      <c r="D376">
        <v>275.47364368447455</v>
      </c>
      <c r="E376">
        <v>84.972705926677548</v>
      </c>
      <c r="F376">
        <v>6.5353695919532129</v>
      </c>
      <c r="G376">
        <v>12.455324594853151</v>
      </c>
      <c r="H376">
        <v>1.1439425663168563</v>
      </c>
    </row>
    <row r="377" spans="1:8" x14ac:dyDescent="0.3">
      <c r="A377">
        <f t="shared" si="4"/>
        <v>317</v>
      </c>
      <c r="B377">
        <v>21651276.702323876</v>
      </c>
      <c r="C377">
        <v>119999.87393406899</v>
      </c>
      <c r="D377">
        <v>209.12456556817924</v>
      </c>
      <c r="E377">
        <v>93.725031419207397</v>
      </c>
      <c r="F377">
        <v>5.7451725929736854</v>
      </c>
      <c r="G377">
        <v>6.6959231576434703</v>
      </c>
      <c r="H377">
        <v>1.0580225807017498</v>
      </c>
    </row>
    <row r="378" spans="1:8" x14ac:dyDescent="0.3">
      <c r="A378">
        <f t="shared" si="4"/>
        <v>318</v>
      </c>
      <c r="B378">
        <v>30891476.527457815</v>
      </c>
      <c r="C378">
        <v>119998.34943902364</v>
      </c>
      <c r="D378">
        <v>101.82822232018133</v>
      </c>
      <c r="E378">
        <v>113.67807699807415</v>
      </c>
      <c r="F378">
        <v>6.1330197148663155</v>
      </c>
      <c r="G378">
        <v>11.734823173932881</v>
      </c>
      <c r="H378">
        <v>1.0509045718706425</v>
      </c>
    </row>
    <row r="379" spans="1:8" x14ac:dyDescent="0.3">
      <c r="A379">
        <f t="shared" si="4"/>
        <v>319</v>
      </c>
      <c r="B379">
        <v>21666648.698716648</v>
      </c>
      <c r="C379">
        <v>120001.52030080889</v>
      </c>
      <c r="D379">
        <v>217.37121936698415</v>
      </c>
      <c r="E379">
        <v>81.899558691413361</v>
      </c>
      <c r="F379">
        <v>5.9829558589441492</v>
      </c>
      <c r="G379">
        <v>10.378374004372827</v>
      </c>
      <c r="H379">
        <v>1.1077125863132418</v>
      </c>
    </row>
    <row r="380" spans="1:8" x14ac:dyDescent="0.3">
      <c r="A380">
        <f t="shared" si="4"/>
        <v>320</v>
      </c>
      <c r="B380">
        <v>15759230.44812499</v>
      </c>
      <c r="C380">
        <v>120001.01665799234</v>
      </c>
      <c r="D380">
        <v>225.6253043181234</v>
      </c>
      <c r="E380">
        <v>125.15825166995845</v>
      </c>
      <c r="F380">
        <v>6.6853559037920398</v>
      </c>
      <c r="G380">
        <v>8.415771097813936</v>
      </c>
      <c r="H380">
        <v>0.93508510147375001</v>
      </c>
    </row>
    <row r="381" spans="1:8" x14ac:dyDescent="0.3">
      <c r="A381">
        <f t="shared" si="4"/>
        <v>321</v>
      </c>
      <c r="B381">
        <v>21731259.20062457</v>
      </c>
      <c r="C381">
        <v>119996.2339996153</v>
      </c>
      <c r="D381">
        <v>193.74928215331101</v>
      </c>
      <c r="E381">
        <v>106.22357118941333</v>
      </c>
      <c r="F381">
        <v>4.1138449644987558</v>
      </c>
      <c r="G381">
        <v>6.9619773303601269</v>
      </c>
      <c r="H381">
        <v>0.97754967928621128</v>
      </c>
    </row>
    <row r="382" spans="1:8" x14ac:dyDescent="0.3">
      <c r="A382">
        <f t="shared" si="4"/>
        <v>322</v>
      </c>
      <c r="B382">
        <v>21131218.533857025</v>
      </c>
      <c r="C382">
        <v>120003.38040973611</v>
      </c>
      <c r="D382">
        <v>206.39076152225414</v>
      </c>
      <c r="E382">
        <v>95.831587337429198</v>
      </c>
      <c r="F382">
        <v>6.895757286162655</v>
      </c>
      <c r="G382">
        <v>10.957516642654575</v>
      </c>
      <c r="H382">
        <v>1.1494707743932666</v>
      </c>
    </row>
    <row r="383" spans="1:8" x14ac:dyDescent="0.3">
      <c r="A383">
        <f t="shared" ref="A383:A446" si="5">A382+1</f>
        <v>323</v>
      </c>
      <c r="B383">
        <v>8226429.118536599</v>
      </c>
      <c r="C383">
        <v>120002.12318262954</v>
      </c>
      <c r="D383">
        <v>295.81102352580336</v>
      </c>
      <c r="E383">
        <v>120.93118857371798</v>
      </c>
      <c r="F383">
        <v>6.4300679762815518</v>
      </c>
      <c r="G383">
        <v>5.9720110484845277</v>
      </c>
      <c r="H383">
        <v>0.92767935229406673</v>
      </c>
    </row>
    <row r="384" spans="1:8" x14ac:dyDescent="0.3">
      <c r="A384">
        <f t="shared" si="5"/>
        <v>324</v>
      </c>
      <c r="B384">
        <v>25405575.436754368</v>
      </c>
      <c r="C384">
        <v>120001.25591226653</v>
      </c>
      <c r="D384">
        <v>174.88978695377267</v>
      </c>
      <c r="E384">
        <v>95.070156361268289</v>
      </c>
      <c r="F384">
        <v>6.8505121484307043</v>
      </c>
      <c r="G384">
        <v>7.9089752832087292</v>
      </c>
      <c r="H384">
        <v>0.96794554211515826</v>
      </c>
    </row>
    <row r="385" spans="1:8" x14ac:dyDescent="0.3">
      <c r="A385">
        <f t="shared" si="5"/>
        <v>325</v>
      </c>
      <c r="B385">
        <v>27264713.058786478</v>
      </c>
      <c r="C385">
        <v>119998.65689383539</v>
      </c>
      <c r="D385">
        <v>184.45366052208038</v>
      </c>
      <c r="E385">
        <v>70.092109257241461</v>
      </c>
      <c r="F385">
        <v>1.617717080688458</v>
      </c>
      <c r="G385">
        <v>10.120810985972565</v>
      </c>
      <c r="H385">
        <v>1.2130591008862366</v>
      </c>
    </row>
    <row r="386" spans="1:8" x14ac:dyDescent="0.3">
      <c r="A386">
        <f t="shared" si="5"/>
        <v>326</v>
      </c>
      <c r="B386">
        <v>22736882.912485689</v>
      </c>
      <c r="C386">
        <v>120001.52634495057</v>
      </c>
      <c r="D386">
        <v>168.51173491487197</v>
      </c>
      <c r="E386">
        <v>120.26610649888322</v>
      </c>
      <c r="F386">
        <v>6.5521435739207563</v>
      </c>
      <c r="G386">
        <v>10.995296481381482</v>
      </c>
      <c r="H386">
        <v>0.94150484074076779</v>
      </c>
    </row>
    <row r="387" spans="1:8" x14ac:dyDescent="0.3">
      <c r="A387">
        <f t="shared" si="5"/>
        <v>327</v>
      </c>
      <c r="B387">
        <v>26564837.470627047</v>
      </c>
      <c r="C387">
        <v>120003.8363294162</v>
      </c>
      <c r="D387">
        <v>175.09568173147477</v>
      </c>
      <c r="E387">
        <v>87.205069915786055</v>
      </c>
      <c r="F387">
        <v>3.9489282065497568</v>
      </c>
      <c r="G387">
        <v>5.2092676264845625</v>
      </c>
      <c r="H387">
        <v>0.90678829503186265</v>
      </c>
    </row>
    <row r="388" spans="1:8" x14ac:dyDescent="0.3">
      <c r="A388">
        <f t="shared" si="5"/>
        <v>328</v>
      </c>
      <c r="B388">
        <v>25172606.204232294</v>
      </c>
      <c r="C388">
        <v>120001.01919339331</v>
      </c>
      <c r="D388">
        <v>156.40814938402167</v>
      </c>
      <c r="E388">
        <v>108.3780564519539</v>
      </c>
      <c r="F388">
        <v>8.7910650913989699</v>
      </c>
      <c r="G388">
        <v>10.957520312146045</v>
      </c>
      <c r="H388">
        <v>0.94890500844271397</v>
      </c>
    </row>
    <row r="389" spans="1:8" x14ac:dyDescent="0.3">
      <c r="A389">
        <f t="shared" si="5"/>
        <v>329</v>
      </c>
      <c r="B389">
        <v>6254041.7162346467</v>
      </c>
      <c r="C389">
        <v>119997.83488133141</v>
      </c>
      <c r="D389">
        <v>285.09768199808593</v>
      </c>
      <c r="E389">
        <v>138.58914999978521</v>
      </c>
      <c r="F389">
        <v>8.2989591136373786</v>
      </c>
      <c r="G389">
        <v>14.196675522629064</v>
      </c>
      <c r="H389">
        <v>1.0632014379537078</v>
      </c>
    </row>
    <row r="390" spans="1:8" x14ac:dyDescent="0.3">
      <c r="A390">
        <f t="shared" si="5"/>
        <v>330</v>
      </c>
      <c r="B390">
        <v>18734098.989112988</v>
      </c>
      <c r="C390">
        <v>119996.93219420513</v>
      </c>
      <c r="D390">
        <v>219.09320947144619</v>
      </c>
      <c r="E390">
        <v>98.702131204848982</v>
      </c>
      <c r="F390">
        <v>9.6466573999025211</v>
      </c>
      <c r="G390">
        <v>8.4080321658281658</v>
      </c>
      <c r="H390">
        <v>0.90710916592729074</v>
      </c>
    </row>
    <row r="391" spans="1:8" x14ac:dyDescent="0.3">
      <c r="A391">
        <f t="shared" si="5"/>
        <v>331</v>
      </c>
      <c r="B391">
        <v>19559400.221316211</v>
      </c>
      <c r="C391">
        <v>120001.97888011596</v>
      </c>
      <c r="D391">
        <v>215.21354402947662</v>
      </c>
      <c r="E391">
        <v>102.06716349600202</v>
      </c>
      <c r="F391">
        <v>3.9473595464584541</v>
      </c>
      <c r="G391">
        <v>8.8148015962319004</v>
      </c>
      <c r="H391">
        <v>0.98992724692551193</v>
      </c>
    </row>
    <row r="392" spans="1:8" x14ac:dyDescent="0.3">
      <c r="A392">
        <f t="shared" si="5"/>
        <v>332</v>
      </c>
      <c r="B392">
        <v>24228076.244586147</v>
      </c>
      <c r="C392">
        <v>120007.02261393667</v>
      </c>
      <c r="D392">
        <v>168.24472617553479</v>
      </c>
      <c r="E392">
        <v>107.78687051424515</v>
      </c>
      <c r="F392">
        <v>5.357026146755608</v>
      </c>
      <c r="G392">
        <v>10.850660443294776</v>
      </c>
      <c r="H392">
        <v>0.97243148538501245</v>
      </c>
    </row>
    <row r="393" spans="1:8" x14ac:dyDescent="0.3">
      <c r="A393">
        <f t="shared" si="5"/>
        <v>333</v>
      </c>
      <c r="B393">
        <v>8436185.7951057777</v>
      </c>
      <c r="C393">
        <v>60000.123708666179</v>
      </c>
      <c r="D393">
        <v>219.35140274113101</v>
      </c>
      <c r="E393">
        <v>122.09984559312147</v>
      </c>
      <c r="F393">
        <v>5.1039444299367647</v>
      </c>
      <c r="G393">
        <v>9.1691163868061203</v>
      </c>
      <c r="H393">
        <v>0.93533240350216085</v>
      </c>
    </row>
    <row r="394" spans="1:8" x14ac:dyDescent="0.3">
      <c r="A394">
        <f t="shared" si="5"/>
        <v>334</v>
      </c>
      <c r="B394">
        <v>22344167.341080323</v>
      </c>
      <c r="C394">
        <v>120001.62790488084</v>
      </c>
      <c r="D394">
        <v>184.42734726797826</v>
      </c>
      <c r="E394">
        <v>107.16637008247056</v>
      </c>
      <c r="F394">
        <v>6.2339920254513199</v>
      </c>
      <c r="G394">
        <v>11.130861355332975</v>
      </c>
      <c r="H394">
        <v>1.0133545038230705</v>
      </c>
    </row>
    <row r="395" spans="1:8" x14ac:dyDescent="0.3">
      <c r="A395">
        <f t="shared" si="5"/>
        <v>335</v>
      </c>
      <c r="B395">
        <v>22343956.177863486</v>
      </c>
      <c r="C395">
        <v>119997.46739773062</v>
      </c>
      <c r="D395">
        <v>200.66421068231426</v>
      </c>
      <c r="E395">
        <v>93.608840351622348</v>
      </c>
      <c r="F395">
        <v>3.6022043148585601</v>
      </c>
      <c r="G395">
        <v>10.388717465651144</v>
      </c>
      <c r="H395">
        <v>0.96204287500664287</v>
      </c>
    </row>
    <row r="396" spans="1:8" x14ac:dyDescent="0.3">
      <c r="A396">
        <f t="shared" si="5"/>
        <v>336</v>
      </c>
      <c r="B396">
        <v>29530744.995636638</v>
      </c>
      <c r="C396">
        <v>119998.71009929683</v>
      </c>
      <c r="D396">
        <v>125.07384309917742</v>
      </c>
      <c r="E396">
        <v>109.40353684344602</v>
      </c>
      <c r="F396">
        <v>5.0056069790950639</v>
      </c>
      <c r="G396">
        <v>8.7892517179060832</v>
      </c>
      <c r="H396">
        <v>0.79122276536487335</v>
      </c>
    </row>
    <row r="397" spans="1:8" x14ac:dyDescent="0.3">
      <c r="A397">
        <f t="shared" si="5"/>
        <v>337</v>
      </c>
      <c r="B397">
        <v>32246515.637532949</v>
      </c>
      <c r="C397">
        <v>119999.08039896902</v>
      </c>
      <c r="D397">
        <v>127.19754444659553</v>
      </c>
      <c r="E397">
        <v>76.979415155249612</v>
      </c>
      <c r="F397">
        <v>5.5428288709167699</v>
      </c>
      <c r="G397">
        <v>10.69553617272973</v>
      </c>
      <c r="H397">
        <v>1.0013022851279676</v>
      </c>
    </row>
    <row r="398" spans="1:8" x14ac:dyDescent="0.3">
      <c r="A398">
        <f t="shared" si="5"/>
        <v>338</v>
      </c>
      <c r="B398">
        <v>532149.14098453522</v>
      </c>
      <c r="C398">
        <v>119999.70788407314</v>
      </c>
      <c r="D398">
        <v>369.79824296477869</v>
      </c>
      <c r="E398">
        <v>107.34895899391401</v>
      </c>
      <c r="F398">
        <v>6.0890217647741549</v>
      </c>
      <c r="G398">
        <v>10.858392302465136</v>
      </c>
      <c r="H398">
        <v>1.1657335333187371</v>
      </c>
    </row>
    <row r="399" spans="1:8" x14ac:dyDescent="0.3">
      <c r="A399">
        <f t="shared" si="5"/>
        <v>339</v>
      </c>
      <c r="B399">
        <v>22007056.711406671</v>
      </c>
      <c r="C399">
        <v>119992.90684917285</v>
      </c>
      <c r="D399">
        <v>199.35139421291879</v>
      </c>
      <c r="E399">
        <v>91.996341495332246</v>
      </c>
      <c r="F399">
        <v>5.1400786851764266</v>
      </c>
      <c r="G399">
        <v>15.447979944050765</v>
      </c>
      <c r="H399">
        <v>0.97901461792113409</v>
      </c>
    </row>
    <row r="400" spans="1:8" x14ac:dyDescent="0.3">
      <c r="A400">
        <f t="shared" si="5"/>
        <v>340</v>
      </c>
      <c r="B400">
        <v>20692390.409224644</v>
      </c>
      <c r="C400">
        <v>120004.69208102842</v>
      </c>
      <c r="D400">
        <v>206.11205170338317</v>
      </c>
      <c r="E400">
        <v>101.12191534092692</v>
      </c>
      <c r="F400">
        <v>3.5600392500761746</v>
      </c>
      <c r="G400">
        <v>8.2568375933086475</v>
      </c>
      <c r="H400">
        <v>0.97593663838552147</v>
      </c>
    </row>
    <row r="401" spans="1:8" x14ac:dyDescent="0.3">
      <c r="A401">
        <f t="shared" si="5"/>
        <v>341</v>
      </c>
      <c r="B401">
        <v>25792157.994358309</v>
      </c>
      <c r="C401">
        <v>119999.33172046024</v>
      </c>
      <c r="D401">
        <v>153.94531104568344</v>
      </c>
      <c r="E401">
        <v>112.45988631760977</v>
      </c>
      <c r="F401">
        <v>8.6281319815144428</v>
      </c>
      <c r="G401">
        <v>6.2029350747218057</v>
      </c>
      <c r="H401">
        <v>0.89948163218263422</v>
      </c>
    </row>
    <row r="402" spans="1:8" x14ac:dyDescent="0.3">
      <c r="A402">
        <f t="shared" si="5"/>
        <v>342</v>
      </c>
      <c r="B402">
        <v>10321527.658819549</v>
      </c>
      <c r="C402">
        <v>119998.56541627731</v>
      </c>
      <c r="D402">
        <v>266.63518100378616</v>
      </c>
      <c r="E402">
        <v>127.17039626004028</v>
      </c>
      <c r="F402">
        <v>5.0607677773333846</v>
      </c>
      <c r="G402">
        <v>10.211461418812545</v>
      </c>
      <c r="H402">
        <v>0.97924564140903925</v>
      </c>
    </row>
    <row r="403" spans="1:8" x14ac:dyDescent="0.3">
      <c r="A403">
        <f t="shared" si="5"/>
        <v>343</v>
      </c>
      <c r="B403">
        <v>17551898.521811098</v>
      </c>
      <c r="C403">
        <v>119994.90119357589</v>
      </c>
      <c r="D403">
        <v>206.67002296967308</v>
      </c>
      <c r="E403">
        <v>114.99382325138515</v>
      </c>
      <c r="F403">
        <v>8.8877327168507154</v>
      </c>
      <c r="G403">
        <v>15.547151784512304</v>
      </c>
      <c r="H403">
        <v>1.0868317790800019</v>
      </c>
    </row>
    <row r="404" spans="1:8" x14ac:dyDescent="0.3">
      <c r="A404">
        <f t="shared" si="5"/>
        <v>344</v>
      </c>
      <c r="B404">
        <v>30297754.292212501</v>
      </c>
      <c r="C404">
        <v>120003.91177987323</v>
      </c>
      <c r="D404">
        <v>121.94964270164242</v>
      </c>
      <c r="E404">
        <v>106.63155758561658</v>
      </c>
      <c r="F404">
        <v>3.5387179681212952</v>
      </c>
      <c r="G404">
        <v>8.6899707146766847</v>
      </c>
      <c r="H404">
        <v>1.0343760541349394</v>
      </c>
    </row>
    <row r="405" spans="1:8" x14ac:dyDescent="0.3">
      <c r="A405">
        <f t="shared" si="5"/>
        <v>345</v>
      </c>
      <c r="B405">
        <v>17327393.799425848</v>
      </c>
      <c r="C405">
        <v>120002.10003553976</v>
      </c>
      <c r="D405">
        <v>223.77449394110332</v>
      </c>
      <c r="E405">
        <v>103.21543549098332</v>
      </c>
      <c r="F405">
        <v>5.3497138175843197</v>
      </c>
      <c r="G405">
        <v>18.556206370293772</v>
      </c>
      <c r="H405">
        <v>1.0041407836859964</v>
      </c>
    </row>
    <row r="406" spans="1:8" x14ac:dyDescent="0.3">
      <c r="A406">
        <f t="shared" si="5"/>
        <v>346</v>
      </c>
      <c r="B406">
        <v>18945472.763908245</v>
      </c>
      <c r="C406">
        <v>119994.28077775083</v>
      </c>
      <c r="D406">
        <v>230.08464566948373</v>
      </c>
      <c r="E406">
        <v>93.556720532383324</v>
      </c>
      <c r="F406">
        <v>2.9360579175957886</v>
      </c>
      <c r="G406">
        <v>9.9718164846060287</v>
      </c>
      <c r="H406">
        <v>1.1327339908170775</v>
      </c>
    </row>
    <row r="407" spans="1:8" x14ac:dyDescent="0.3">
      <c r="A407">
        <f t="shared" si="5"/>
        <v>347</v>
      </c>
      <c r="B407">
        <v>22869724.506400958</v>
      </c>
      <c r="C407">
        <v>120006.45359839854</v>
      </c>
      <c r="D407">
        <v>181.23248526428526</v>
      </c>
      <c r="E407">
        <v>104.61184415977175</v>
      </c>
      <c r="F407">
        <v>5.641999803939802</v>
      </c>
      <c r="G407">
        <v>11.669553738015015</v>
      </c>
      <c r="H407">
        <v>1.0899756317280402</v>
      </c>
    </row>
    <row r="408" spans="1:8" x14ac:dyDescent="0.3">
      <c r="A408">
        <f t="shared" si="5"/>
        <v>348</v>
      </c>
      <c r="B408">
        <v>15950025.066799499</v>
      </c>
      <c r="C408">
        <v>120002.60222318383</v>
      </c>
      <c r="D408">
        <v>267.53778334692038</v>
      </c>
      <c r="E408">
        <v>81.578050328895898</v>
      </c>
      <c r="F408">
        <v>5.912540165791496</v>
      </c>
      <c r="G408">
        <v>7.9806267069384029</v>
      </c>
      <c r="H408">
        <v>1.0597669840360635</v>
      </c>
    </row>
    <row r="409" spans="1:8" x14ac:dyDescent="0.3">
      <c r="A409">
        <f t="shared" si="5"/>
        <v>349</v>
      </c>
      <c r="B409">
        <v>19830698.875327706</v>
      </c>
      <c r="C409">
        <v>119992.65975667276</v>
      </c>
      <c r="D409">
        <v>212.40340555593804</v>
      </c>
      <c r="E409">
        <v>101.5592844146073</v>
      </c>
      <c r="F409">
        <v>6.1052698667765402</v>
      </c>
      <c r="G409">
        <v>10.154778588179774</v>
      </c>
      <c r="H409">
        <v>0.94634983639422188</v>
      </c>
    </row>
    <row r="410" spans="1:8" x14ac:dyDescent="0.3">
      <c r="A410">
        <f t="shared" si="5"/>
        <v>350</v>
      </c>
      <c r="B410">
        <v>27379940.595495678</v>
      </c>
      <c r="C410">
        <v>120001.36694977987</v>
      </c>
      <c r="D410">
        <v>135.39904735553074</v>
      </c>
      <c r="E410">
        <v>104.55730087334493</v>
      </c>
      <c r="F410">
        <v>3.7473864698847281</v>
      </c>
      <c r="G410">
        <v>16.180930067232325</v>
      </c>
      <c r="H410">
        <v>0.98221014167053144</v>
      </c>
    </row>
    <row r="411" spans="1:8" x14ac:dyDescent="0.3">
      <c r="A411">
        <f t="shared" si="5"/>
        <v>351</v>
      </c>
      <c r="B411">
        <v>31278569.420719605</v>
      </c>
      <c r="C411">
        <v>119999.0220357573</v>
      </c>
      <c r="D411">
        <v>114.34687318637484</v>
      </c>
      <c r="E411">
        <v>96.880811927484828</v>
      </c>
      <c r="F411">
        <v>3.7455782930573536</v>
      </c>
      <c r="G411">
        <v>10.319551239658237</v>
      </c>
      <c r="H411">
        <v>1.1135615904003857</v>
      </c>
    </row>
    <row r="412" spans="1:8" x14ac:dyDescent="0.3">
      <c r="A412">
        <f t="shared" si="5"/>
        <v>352</v>
      </c>
      <c r="B412">
        <v>24473374.035231333</v>
      </c>
      <c r="C412">
        <v>119997.10912695961</v>
      </c>
      <c r="D412">
        <v>205.48265285699097</v>
      </c>
      <c r="E412">
        <v>69.298549802844207</v>
      </c>
      <c r="F412">
        <v>2.2454789455170583</v>
      </c>
      <c r="G412">
        <v>9.0724048411377485</v>
      </c>
      <c r="H412">
        <v>0.96050471403162863</v>
      </c>
    </row>
    <row r="413" spans="1:8" x14ac:dyDescent="0.3">
      <c r="A413">
        <f t="shared" si="5"/>
        <v>353</v>
      </c>
      <c r="B413">
        <v>23286871.459230125</v>
      </c>
      <c r="C413">
        <v>119999.52865478036</v>
      </c>
      <c r="D413">
        <v>172.90714488240681</v>
      </c>
      <c r="E413">
        <v>114.22163352696526</v>
      </c>
      <c r="F413">
        <v>0</v>
      </c>
      <c r="G413">
        <v>11.519539504973022</v>
      </c>
      <c r="H413">
        <v>1.0678171236070069</v>
      </c>
    </row>
    <row r="414" spans="1:8" x14ac:dyDescent="0.3">
      <c r="A414">
        <f t="shared" si="5"/>
        <v>354</v>
      </c>
      <c r="B414">
        <v>30889140.228154939</v>
      </c>
      <c r="C414">
        <v>120000.48959529951</v>
      </c>
      <c r="D414">
        <v>142.50198506634689</v>
      </c>
      <c r="E414">
        <v>67.994315041733756</v>
      </c>
      <c r="F414">
        <v>3.7924980595144486</v>
      </c>
      <c r="G414">
        <v>14.527416352743749</v>
      </c>
      <c r="H414">
        <v>0.9783604653066128</v>
      </c>
    </row>
    <row r="415" spans="1:8" x14ac:dyDescent="0.3">
      <c r="A415">
        <f t="shared" si="5"/>
        <v>355</v>
      </c>
      <c r="B415">
        <v>28027654.72180802</v>
      </c>
      <c r="C415">
        <v>120005.21012573616</v>
      </c>
      <c r="D415">
        <v>173.18301904798625</v>
      </c>
      <c r="E415">
        <v>66.22351164421292</v>
      </c>
      <c r="F415">
        <v>5.9723352592518033</v>
      </c>
      <c r="G415">
        <v>9.6111532058143805</v>
      </c>
      <c r="H415">
        <v>1.0128648624088639</v>
      </c>
    </row>
    <row r="416" spans="1:8" x14ac:dyDescent="0.3">
      <c r="A416">
        <f t="shared" si="5"/>
        <v>356</v>
      </c>
      <c r="B416">
        <v>19082323.488328747</v>
      </c>
      <c r="C416">
        <v>120002.20565886376</v>
      </c>
      <c r="D416">
        <v>193.17310544253394</v>
      </c>
      <c r="E416">
        <v>122.28193242327276</v>
      </c>
      <c r="F416">
        <v>3.8418530776356787</v>
      </c>
      <c r="G416">
        <v>13.331375886779622</v>
      </c>
      <c r="H416">
        <v>0.85095760318280556</v>
      </c>
    </row>
    <row r="417" spans="1:8" x14ac:dyDescent="0.3">
      <c r="A417">
        <f t="shared" si="5"/>
        <v>357</v>
      </c>
      <c r="B417">
        <v>23395317.079831295</v>
      </c>
      <c r="C417">
        <v>119994.9971029265</v>
      </c>
      <c r="D417">
        <v>194.15110018204183</v>
      </c>
      <c r="E417">
        <v>86.523554856149275</v>
      </c>
      <c r="F417">
        <v>5.9324094999013637</v>
      </c>
      <c r="G417">
        <v>10.72318685957516</v>
      </c>
      <c r="H417">
        <v>1.0833344236765652</v>
      </c>
    </row>
    <row r="418" spans="1:8" x14ac:dyDescent="0.3">
      <c r="A418">
        <f t="shared" si="5"/>
        <v>358</v>
      </c>
      <c r="B418">
        <v>23381264.041868269</v>
      </c>
      <c r="C418">
        <v>119998.43034201751</v>
      </c>
      <c r="D418">
        <v>135.61694419394766</v>
      </c>
      <c r="E418">
        <v>148.92826915600426</v>
      </c>
      <c r="F418">
        <v>6.1893612322466618</v>
      </c>
      <c r="G418">
        <v>7.3451551272031264</v>
      </c>
      <c r="H418">
        <v>0.94795506977507538</v>
      </c>
    </row>
    <row r="419" spans="1:8" x14ac:dyDescent="0.3">
      <c r="A419">
        <f t="shared" si="5"/>
        <v>359</v>
      </c>
      <c r="B419">
        <v>19051493.2678122</v>
      </c>
      <c r="C419">
        <v>119992.79796199617</v>
      </c>
      <c r="D419">
        <v>249.76407514935644</v>
      </c>
      <c r="E419">
        <v>67.763057229687107</v>
      </c>
      <c r="F419">
        <v>6.0826393394855547</v>
      </c>
      <c r="G419">
        <v>12.449491690868475</v>
      </c>
      <c r="H419">
        <v>1.03335388180793</v>
      </c>
    </row>
    <row r="420" spans="1:8" x14ac:dyDescent="0.3">
      <c r="A420">
        <f t="shared" si="5"/>
        <v>360</v>
      </c>
      <c r="B420">
        <v>25767231.844044603</v>
      </c>
      <c r="C420">
        <v>119997.09907301555</v>
      </c>
      <c r="D420">
        <v>167.18551435188576</v>
      </c>
      <c r="E420">
        <v>103.012833962302</v>
      </c>
      <c r="F420">
        <v>5.1042041628027013</v>
      </c>
      <c r="G420">
        <v>5.4029198272411687</v>
      </c>
      <c r="H420">
        <v>0.91903587000981934</v>
      </c>
    </row>
    <row r="421" spans="1:8" x14ac:dyDescent="0.3">
      <c r="A421">
        <f t="shared" si="5"/>
        <v>361</v>
      </c>
      <c r="B421">
        <v>30552888.737347476</v>
      </c>
      <c r="C421">
        <v>120000.50143360227</v>
      </c>
      <c r="D421">
        <v>162.1506781158092</v>
      </c>
      <c r="E421">
        <v>57.333276498409504</v>
      </c>
      <c r="F421">
        <v>3.3208079553068557</v>
      </c>
      <c r="G421">
        <v>9.8611748407004907</v>
      </c>
      <c r="H421">
        <v>1.016483507340465</v>
      </c>
    </row>
    <row r="422" spans="1:8" x14ac:dyDescent="0.3">
      <c r="A422">
        <f t="shared" si="5"/>
        <v>362</v>
      </c>
      <c r="B422">
        <v>11074428.70784656</v>
      </c>
      <c r="C422">
        <v>119999.34592145894</v>
      </c>
      <c r="D422">
        <v>314.90771315923109</v>
      </c>
      <c r="E422">
        <v>74.63054689580278</v>
      </c>
      <c r="F422">
        <v>5.0026917255191892</v>
      </c>
      <c r="G422">
        <v>9.0036101485211084</v>
      </c>
      <c r="H422">
        <v>1.0033333741873116</v>
      </c>
    </row>
    <row r="423" spans="1:8" x14ac:dyDescent="0.3">
      <c r="A423">
        <f t="shared" si="5"/>
        <v>363</v>
      </c>
      <c r="B423">
        <v>26228016.855387114</v>
      </c>
      <c r="C423">
        <v>120003.07947661668</v>
      </c>
      <c r="D423">
        <v>170.20389083198603</v>
      </c>
      <c r="E423">
        <v>82.510423295297628</v>
      </c>
      <c r="F423">
        <v>1.2873946954420572</v>
      </c>
      <c r="G423">
        <v>16.178628313742657</v>
      </c>
      <c r="H423">
        <v>1.0035732076821837</v>
      </c>
    </row>
    <row r="424" spans="1:8" x14ac:dyDescent="0.3">
      <c r="A424">
        <f t="shared" si="5"/>
        <v>364</v>
      </c>
      <c r="B424">
        <v>14504832.966725238</v>
      </c>
      <c r="C424">
        <v>120001.99805797826</v>
      </c>
      <c r="D424">
        <v>224.56263187333661</v>
      </c>
      <c r="E424">
        <v>129.06733531058933</v>
      </c>
      <c r="F424">
        <v>7.470591572964091</v>
      </c>
      <c r="G424">
        <v>10.823858450264026</v>
      </c>
      <c r="H424">
        <v>0.98851560478413336</v>
      </c>
    </row>
    <row r="425" spans="1:8" x14ac:dyDescent="0.3">
      <c r="A425">
        <f t="shared" si="5"/>
        <v>365</v>
      </c>
      <c r="B425">
        <v>18229966.493892558</v>
      </c>
      <c r="C425">
        <v>120000.86336771114</v>
      </c>
      <c r="D425">
        <v>236.98153493360925</v>
      </c>
      <c r="E425">
        <v>92.759132412139394</v>
      </c>
      <c r="F425">
        <v>7.6376542964895044</v>
      </c>
      <c r="G425">
        <v>7.9509503456102504</v>
      </c>
      <c r="H425">
        <v>1.0806752681149256</v>
      </c>
    </row>
    <row r="426" spans="1:8" x14ac:dyDescent="0.3">
      <c r="A426">
        <f t="shared" si="5"/>
        <v>366</v>
      </c>
      <c r="B426">
        <v>30594136.443262134</v>
      </c>
      <c r="C426">
        <v>120001.45298605534</v>
      </c>
      <c r="D426">
        <v>156.42138948222765</v>
      </c>
      <c r="E426">
        <v>53.601088880036734</v>
      </c>
      <c r="F426">
        <v>5.3344406441666781</v>
      </c>
      <c r="G426">
        <v>17.471667697994878</v>
      </c>
      <c r="H426">
        <v>0.89687402089070711</v>
      </c>
    </row>
    <row r="427" spans="1:8" x14ac:dyDescent="0.3">
      <c r="A427">
        <f t="shared" si="5"/>
        <v>367</v>
      </c>
      <c r="B427">
        <v>28339132.517660111</v>
      </c>
      <c r="C427">
        <v>119999.13841446023</v>
      </c>
      <c r="D427">
        <v>130.49598686582794</v>
      </c>
      <c r="E427">
        <v>109.18074727462376</v>
      </c>
      <c r="F427">
        <v>3.5752315387160536</v>
      </c>
      <c r="G427">
        <v>14.713220281502348</v>
      </c>
      <c r="H427">
        <v>0.77750707063206781</v>
      </c>
    </row>
    <row r="428" spans="1:8" x14ac:dyDescent="0.3">
      <c r="A428">
        <f t="shared" si="5"/>
        <v>368</v>
      </c>
      <c r="B428">
        <v>10953427.842324257</v>
      </c>
      <c r="C428">
        <v>119997.62499850396</v>
      </c>
      <c r="D428">
        <v>262.90739427322461</v>
      </c>
      <c r="E428">
        <v>127.0007982231478</v>
      </c>
      <c r="F428">
        <v>2.9258013801948568</v>
      </c>
      <c r="G428">
        <v>10.263532632225212</v>
      </c>
      <c r="H428">
        <v>1.0553607865686905</v>
      </c>
    </row>
    <row r="429" spans="1:8" x14ac:dyDescent="0.3">
      <c r="A429">
        <f t="shared" si="5"/>
        <v>369</v>
      </c>
      <c r="B429">
        <v>16833239.238202162</v>
      </c>
      <c r="C429">
        <v>120000.04902679085</v>
      </c>
      <c r="D429">
        <v>222.25205699247437</v>
      </c>
      <c r="E429">
        <v>114.29922123363708</v>
      </c>
      <c r="F429">
        <v>2.5502508742484351</v>
      </c>
      <c r="G429">
        <v>12.378888251706366</v>
      </c>
      <c r="H429">
        <v>1.0176386792362688</v>
      </c>
    </row>
    <row r="430" spans="1:8" x14ac:dyDescent="0.3">
      <c r="A430">
        <f t="shared" si="5"/>
        <v>370</v>
      </c>
      <c r="B430">
        <v>19066851.825000696</v>
      </c>
      <c r="C430">
        <v>119995.98897687302</v>
      </c>
      <c r="D430">
        <v>212.6709381096795</v>
      </c>
      <c r="E430">
        <v>106.41116829726234</v>
      </c>
      <c r="F430">
        <v>6.1899169392764417</v>
      </c>
      <c r="G430">
        <v>12.388930008334043</v>
      </c>
      <c r="H430">
        <v>0.93460326602767563</v>
      </c>
    </row>
    <row r="431" spans="1:8" x14ac:dyDescent="0.3">
      <c r="A431">
        <f t="shared" si="5"/>
        <v>371</v>
      </c>
      <c r="B431">
        <v>33773500.186958499</v>
      </c>
      <c r="C431">
        <v>119999.43934195225</v>
      </c>
      <c r="D431">
        <v>112.28959856769215</v>
      </c>
      <c r="E431">
        <v>83.465985190703165</v>
      </c>
      <c r="F431">
        <v>3.7521904116056537</v>
      </c>
      <c r="G431">
        <v>5.9796013025547596</v>
      </c>
      <c r="H431">
        <v>0.86228265869090182</v>
      </c>
    </row>
    <row r="432" spans="1:8" x14ac:dyDescent="0.3">
      <c r="A432">
        <f t="shared" si="5"/>
        <v>372</v>
      </c>
      <c r="B432">
        <v>18122335.394561484</v>
      </c>
      <c r="C432">
        <v>119996.40507328497</v>
      </c>
      <c r="D432">
        <v>198.4563817800443</v>
      </c>
      <c r="E432">
        <v>128.54732575233245</v>
      </c>
      <c r="F432">
        <v>4.3721481217225104</v>
      </c>
      <c r="G432">
        <v>9.4518937713232241</v>
      </c>
      <c r="H432">
        <v>0.99989855712806508</v>
      </c>
    </row>
    <row r="433" spans="1:8" x14ac:dyDescent="0.3">
      <c r="A433">
        <f t="shared" si="5"/>
        <v>373</v>
      </c>
      <c r="B433">
        <v>20440186.346456617</v>
      </c>
      <c r="C433">
        <v>120007.76183381163</v>
      </c>
      <c r="D433">
        <v>200.38864661244901</v>
      </c>
      <c r="E433">
        <v>105.12425225118606</v>
      </c>
      <c r="F433">
        <v>7.2649966679788793</v>
      </c>
      <c r="G433">
        <v>10.335486624969141</v>
      </c>
      <c r="H433">
        <v>1.0049240884144672</v>
      </c>
    </row>
    <row r="434" spans="1:8" x14ac:dyDescent="0.3">
      <c r="A434">
        <f t="shared" si="5"/>
        <v>374</v>
      </c>
      <c r="B434">
        <v>19960925.452500232</v>
      </c>
      <c r="C434">
        <v>120005.96701397171</v>
      </c>
      <c r="D434">
        <v>208.21243528172587</v>
      </c>
      <c r="E434">
        <v>100.10422155961621</v>
      </c>
      <c r="F434">
        <v>4.1604084537676602</v>
      </c>
      <c r="G434">
        <v>12.303316769150904</v>
      </c>
      <c r="H434">
        <v>1.0974135243244496</v>
      </c>
    </row>
    <row r="435" spans="1:8" x14ac:dyDescent="0.3">
      <c r="A435">
        <f t="shared" si="5"/>
        <v>375</v>
      </c>
      <c r="B435">
        <v>14494452.849170998</v>
      </c>
      <c r="C435">
        <v>119998.6705730282</v>
      </c>
      <c r="D435">
        <v>239.64328159481053</v>
      </c>
      <c r="E435">
        <v>117.99014081049312</v>
      </c>
      <c r="F435">
        <v>1.4087915415771208</v>
      </c>
      <c r="G435">
        <v>15.669825994522821</v>
      </c>
      <c r="H435">
        <v>1.0226533468838417</v>
      </c>
    </row>
    <row r="436" spans="1:8" x14ac:dyDescent="0.3">
      <c r="A436">
        <f t="shared" si="5"/>
        <v>376</v>
      </c>
      <c r="B436">
        <v>13749580.447897144</v>
      </c>
      <c r="C436">
        <v>60002.339273751611</v>
      </c>
      <c r="D436">
        <v>161.05388643424249</v>
      </c>
      <c r="E436">
        <v>92.476703263898131</v>
      </c>
      <c r="F436">
        <v>6.3758396450830412</v>
      </c>
      <c r="G436">
        <v>6.7901909386883537</v>
      </c>
      <c r="H436">
        <v>1.0390435725170346</v>
      </c>
    </row>
    <row r="437" spans="1:8" x14ac:dyDescent="0.3">
      <c r="A437">
        <f t="shared" si="5"/>
        <v>377</v>
      </c>
      <c r="B437">
        <v>15035279.024026491</v>
      </c>
      <c r="C437">
        <v>119997.00047333937</v>
      </c>
      <c r="D437">
        <v>205.94570663724477</v>
      </c>
      <c r="E437">
        <v>143.96777908519738</v>
      </c>
      <c r="F437">
        <v>5.618082640194892</v>
      </c>
      <c r="G437">
        <v>13.207110651149996</v>
      </c>
      <c r="H437">
        <v>1.0626012629884689</v>
      </c>
    </row>
    <row r="438" spans="1:8" x14ac:dyDescent="0.3">
      <c r="A438">
        <f t="shared" si="5"/>
        <v>378</v>
      </c>
      <c r="B438">
        <v>27523525.855821531</v>
      </c>
      <c r="C438">
        <v>120002.20460991965</v>
      </c>
      <c r="D438">
        <v>157.02831980675725</v>
      </c>
      <c r="E438">
        <v>90.225898001280854</v>
      </c>
      <c r="F438">
        <v>3.9637668767639647</v>
      </c>
      <c r="G438">
        <v>9.283805865425018</v>
      </c>
      <c r="H438">
        <v>0.82712245936247752</v>
      </c>
    </row>
    <row r="439" spans="1:8" x14ac:dyDescent="0.3">
      <c r="A439">
        <f t="shared" si="5"/>
        <v>379</v>
      </c>
      <c r="B439">
        <v>32351820.743372548</v>
      </c>
      <c r="C439">
        <v>120002.16214513536</v>
      </c>
      <c r="D439">
        <v>126.68826653848042</v>
      </c>
      <c r="E439">
        <v>83.003787092902144</v>
      </c>
      <c r="F439">
        <v>9.7469520689572455</v>
      </c>
      <c r="G439">
        <v>6.3844104233848515</v>
      </c>
      <c r="H439">
        <v>0.77824534188661931</v>
      </c>
    </row>
    <row r="440" spans="1:8" x14ac:dyDescent="0.3">
      <c r="A440">
        <f t="shared" si="5"/>
        <v>380</v>
      </c>
      <c r="B440">
        <v>16660966.103824645</v>
      </c>
      <c r="C440">
        <v>120004.2583611052</v>
      </c>
      <c r="D440">
        <v>232.94044832723787</v>
      </c>
      <c r="E440">
        <v>109.62583477041292</v>
      </c>
      <c r="F440">
        <v>8.8086432480545227</v>
      </c>
      <c r="G440">
        <v>7.0985150042183669</v>
      </c>
      <c r="H440">
        <v>0.95822733946256355</v>
      </c>
    </row>
    <row r="441" spans="1:8" x14ac:dyDescent="0.3">
      <c r="A441">
        <f t="shared" si="5"/>
        <v>381</v>
      </c>
      <c r="B441">
        <v>13196809.355990641</v>
      </c>
      <c r="C441">
        <v>120001.48354529147</v>
      </c>
      <c r="D441">
        <v>261.86522944473819</v>
      </c>
      <c r="E441">
        <v>111.84698683636387</v>
      </c>
      <c r="F441">
        <v>7.8766081006992552</v>
      </c>
      <c r="G441">
        <v>3.9138329710328819</v>
      </c>
      <c r="H441">
        <v>1.0062359471775455</v>
      </c>
    </row>
    <row r="442" spans="1:8" x14ac:dyDescent="0.3">
      <c r="A442">
        <f t="shared" si="5"/>
        <v>382</v>
      </c>
      <c r="B442">
        <v>16548302.690382369</v>
      </c>
      <c r="C442">
        <v>120001.50224857796</v>
      </c>
      <c r="D442">
        <v>210.3059239356291</v>
      </c>
      <c r="E442">
        <v>124.47578429129355</v>
      </c>
      <c r="F442">
        <v>7.7563154440027633</v>
      </c>
      <c r="G442">
        <v>12.06108813954911</v>
      </c>
      <c r="H442">
        <v>0.91410493688867245</v>
      </c>
    </row>
    <row r="443" spans="1:8" x14ac:dyDescent="0.3">
      <c r="A443">
        <f t="shared" si="5"/>
        <v>383</v>
      </c>
      <c r="B443">
        <v>22830998.55299376</v>
      </c>
      <c r="C443">
        <v>120005.91576307963</v>
      </c>
      <c r="D443">
        <v>190.23578095591893</v>
      </c>
      <c r="E443">
        <v>98.221168105446779</v>
      </c>
      <c r="F443">
        <v>4.3972940566785361</v>
      </c>
      <c r="G443">
        <v>10.403589007833803</v>
      </c>
      <c r="H443">
        <v>1.0957246581360092</v>
      </c>
    </row>
    <row r="444" spans="1:8" x14ac:dyDescent="0.3">
      <c r="A444">
        <f t="shared" si="5"/>
        <v>384</v>
      </c>
      <c r="B444">
        <v>24071456.719296724</v>
      </c>
      <c r="C444">
        <v>120002.23613040225</v>
      </c>
      <c r="D444">
        <v>180.08202461762559</v>
      </c>
      <c r="E444">
        <v>95.279602353406275</v>
      </c>
      <c r="F444">
        <v>2.2150615890200198</v>
      </c>
      <c r="G444">
        <v>12.688441914198005</v>
      </c>
      <c r="H444">
        <v>1.0948871538284572</v>
      </c>
    </row>
    <row r="445" spans="1:8" x14ac:dyDescent="0.3">
      <c r="A445">
        <f t="shared" si="5"/>
        <v>385</v>
      </c>
      <c r="B445">
        <v>21511844.381590329</v>
      </c>
      <c r="C445">
        <v>119999.7753762348</v>
      </c>
      <c r="D445">
        <v>185.00149037011994</v>
      </c>
      <c r="E445">
        <v>112.06705709665388</v>
      </c>
      <c r="F445">
        <v>4.2421707074308328</v>
      </c>
      <c r="G445">
        <v>13.34380312724465</v>
      </c>
      <c r="H445">
        <v>0.92554378135183191</v>
      </c>
    </row>
    <row r="446" spans="1:8" x14ac:dyDescent="0.3">
      <c r="A446">
        <f t="shared" si="5"/>
        <v>386</v>
      </c>
      <c r="B446">
        <v>19810699.300580807</v>
      </c>
      <c r="C446">
        <v>120000.65291833902</v>
      </c>
      <c r="D446">
        <v>195.68658534137811</v>
      </c>
      <c r="E446">
        <v>114.58971133655115</v>
      </c>
      <c r="F446">
        <v>8.9154294181127725</v>
      </c>
      <c r="G446">
        <v>11.386597732545317</v>
      </c>
      <c r="H446">
        <v>0.90356850921703924</v>
      </c>
    </row>
    <row r="447" spans="1:8" x14ac:dyDescent="0.3">
      <c r="A447">
        <f t="shared" ref="A447:A510" si="6">A446+1</f>
        <v>387</v>
      </c>
      <c r="B447">
        <v>14375823.421011932</v>
      </c>
      <c r="C447">
        <v>119996.26403396795</v>
      </c>
      <c r="D447">
        <v>239.35281345607086</v>
      </c>
      <c r="E447">
        <v>124.01485067844894</v>
      </c>
      <c r="F447">
        <v>2.7047318170357055</v>
      </c>
      <c r="G447">
        <v>9.7914270023056904</v>
      </c>
      <c r="H447">
        <v>1.2250992820310884</v>
      </c>
    </row>
    <row r="448" spans="1:8" x14ac:dyDescent="0.3">
      <c r="A448">
        <f t="shared" si="6"/>
        <v>388</v>
      </c>
      <c r="B448">
        <v>16133334.514208645</v>
      </c>
      <c r="C448">
        <v>120002.14536667538</v>
      </c>
      <c r="D448">
        <v>232.9510817264852</v>
      </c>
      <c r="E448">
        <v>111.74339211745495</v>
      </c>
      <c r="F448">
        <v>3.6295123484843175</v>
      </c>
      <c r="G448">
        <v>14.665518035238811</v>
      </c>
      <c r="H448">
        <v>0.98735319487962703</v>
      </c>
    </row>
    <row r="449" spans="1:8" x14ac:dyDescent="0.3">
      <c r="A449">
        <f t="shared" si="6"/>
        <v>389</v>
      </c>
      <c r="B449">
        <v>12485553.004553147</v>
      </c>
      <c r="C449">
        <v>120002.44778200676</v>
      </c>
      <c r="D449">
        <v>226.05212330983292</v>
      </c>
      <c r="E449">
        <v>148.84328239058328</v>
      </c>
      <c r="F449">
        <v>6.1364270330465862</v>
      </c>
      <c r="G449">
        <v>9.2267501013829758</v>
      </c>
      <c r="H449">
        <v>0.93386471706138063</v>
      </c>
    </row>
    <row r="450" spans="1:8" x14ac:dyDescent="0.3">
      <c r="A450">
        <f t="shared" si="6"/>
        <v>390</v>
      </c>
      <c r="B450">
        <v>23312850.033410795</v>
      </c>
      <c r="C450">
        <v>120001.61805705316</v>
      </c>
      <c r="D450">
        <v>173.50534740854462</v>
      </c>
      <c r="E450">
        <v>112.3136224145442</v>
      </c>
      <c r="F450">
        <v>4.4045658965990135</v>
      </c>
      <c r="G450">
        <v>11.323024047227479</v>
      </c>
      <c r="H450">
        <v>0.93962070429803368</v>
      </c>
    </row>
    <row r="451" spans="1:8" x14ac:dyDescent="0.3">
      <c r="A451">
        <f t="shared" si="6"/>
        <v>391</v>
      </c>
      <c r="B451">
        <v>20946527.397996254</v>
      </c>
      <c r="C451">
        <v>119993.7388758892</v>
      </c>
      <c r="D451">
        <v>217.5607681794001</v>
      </c>
      <c r="E451">
        <v>90.923870974497476</v>
      </c>
      <c r="F451">
        <v>5.3284378006659505</v>
      </c>
      <c r="G451">
        <v>7.3541553793878531</v>
      </c>
      <c r="H451">
        <v>1.1403473085330447</v>
      </c>
    </row>
    <row r="452" spans="1:8" x14ac:dyDescent="0.3">
      <c r="A452">
        <f t="shared" si="6"/>
        <v>392</v>
      </c>
      <c r="B452">
        <v>14433930.520080931</v>
      </c>
      <c r="C452">
        <v>120003.50570934766</v>
      </c>
      <c r="D452">
        <v>267.8145616713104</v>
      </c>
      <c r="E452">
        <v>89.016370049025397</v>
      </c>
      <c r="F452">
        <v>2.7160273601808655</v>
      </c>
      <c r="G452">
        <v>15.040382909333113</v>
      </c>
      <c r="H452">
        <v>0.9406186798679973</v>
      </c>
    </row>
    <row r="453" spans="1:8" x14ac:dyDescent="0.3">
      <c r="A453">
        <f t="shared" si="6"/>
        <v>393</v>
      </c>
      <c r="B453">
        <v>23287564.425114192</v>
      </c>
      <c r="C453">
        <v>120002.80628315041</v>
      </c>
      <c r="D453">
        <v>178.1114132152039</v>
      </c>
      <c r="E453">
        <v>103.11769619444219</v>
      </c>
      <c r="F453">
        <v>3.8487213472481825</v>
      </c>
      <c r="G453">
        <v>16.977244206885555</v>
      </c>
      <c r="H453">
        <v>0.74045446412010341</v>
      </c>
    </row>
    <row r="454" spans="1:8" x14ac:dyDescent="0.3">
      <c r="A454">
        <f t="shared" si="6"/>
        <v>394</v>
      </c>
      <c r="B454">
        <v>24216952.555656713</v>
      </c>
      <c r="C454">
        <v>119999.25993089886</v>
      </c>
      <c r="D454">
        <v>185.83092248752183</v>
      </c>
      <c r="E454">
        <v>82.167763091005753</v>
      </c>
      <c r="F454">
        <v>6.0344337492153155</v>
      </c>
      <c r="G454">
        <v>12.939288795183883</v>
      </c>
      <c r="H454">
        <v>1.0704126608900906</v>
      </c>
    </row>
    <row r="455" spans="1:8" x14ac:dyDescent="0.3">
      <c r="A455">
        <f t="shared" si="6"/>
        <v>395</v>
      </c>
      <c r="B455">
        <v>25459654.960012872</v>
      </c>
      <c r="C455">
        <v>120001.20099589837</v>
      </c>
      <c r="D455">
        <v>160.99791518021613</v>
      </c>
      <c r="E455">
        <v>99.096282548123924</v>
      </c>
      <c r="F455">
        <v>4.9921045837353537</v>
      </c>
      <c r="G455">
        <v>15.318538139498582</v>
      </c>
      <c r="H455">
        <v>0.94411502271173753</v>
      </c>
    </row>
    <row r="456" spans="1:8" x14ac:dyDescent="0.3">
      <c r="A456">
        <f t="shared" si="6"/>
        <v>396</v>
      </c>
      <c r="B456">
        <v>22398017.735450126</v>
      </c>
      <c r="C456">
        <v>119999.14953433946</v>
      </c>
      <c r="D456">
        <v>218.56493318639664</v>
      </c>
      <c r="E456">
        <v>80.166355718839725</v>
      </c>
      <c r="F456">
        <v>5.1908245381579734</v>
      </c>
      <c r="G456">
        <v>4.4157609292815607</v>
      </c>
      <c r="H456">
        <v>1.0617890225707254</v>
      </c>
    </row>
    <row r="457" spans="1:8" x14ac:dyDescent="0.3">
      <c r="A457">
        <f t="shared" si="6"/>
        <v>397</v>
      </c>
      <c r="B457">
        <v>10469475.355123971</v>
      </c>
      <c r="C457">
        <v>60000.139738276543</v>
      </c>
      <c r="D457">
        <v>243.09163391631873</v>
      </c>
      <c r="E457">
        <v>60.873052669364569</v>
      </c>
      <c r="F457">
        <v>4.0133420372261437</v>
      </c>
      <c r="G457">
        <v>10.337318103395161</v>
      </c>
      <c r="H457">
        <v>0.96807809814058265</v>
      </c>
    </row>
    <row r="458" spans="1:8" x14ac:dyDescent="0.3">
      <c r="A458">
        <f t="shared" si="6"/>
        <v>398</v>
      </c>
      <c r="B458">
        <v>20873514.85349264</v>
      </c>
      <c r="C458">
        <v>120002.96105588906</v>
      </c>
      <c r="D458">
        <v>228.12594975266924</v>
      </c>
      <c r="E458">
        <v>75.428291675882988</v>
      </c>
      <c r="F458">
        <v>5.3632132364301475</v>
      </c>
      <c r="G458">
        <v>9.3899298475186086</v>
      </c>
      <c r="H458">
        <v>1.1176286881287891</v>
      </c>
    </row>
    <row r="459" spans="1:8" x14ac:dyDescent="0.3">
      <c r="A459">
        <f t="shared" si="6"/>
        <v>399</v>
      </c>
      <c r="B459">
        <v>26023700.257163696</v>
      </c>
      <c r="C459">
        <v>119995.89015077525</v>
      </c>
      <c r="D459">
        <v>171.11668377769786</v>
      </c>
      <c r="E459">
        <v>88.254630729023901</v>
      </c>
      <c r="F459">
        <v>7.1097386098076303</v>
      </c>
      <c r="G459">
        <v>8.8686710858828874</v>
      </c>
      <c r="H459">
        <v>1.0015858559762274</v>
      </c>
    </row>
    <row r="460" spans="1:8" x14ac:dyDescent="0.3">
      <c r="A460">
        <f t="shared" si="6"/>
        <v>400</v>
      </c>
      <c r="B460">
        <v>28880194.826719996</v>
      </c>
      <c r="C460">
        <v>119997.82338197302</v>
      </c>
      <c r="D460">
        <v>159.09766085614399</v>
      </c>
      <c r="E460">
        <v>80.759468038491349</v>
      </c>
      <c r="F460">
        <v>3.1674465687164233</v>
      </c>
      <c r="G460">
        <v>12.068717987226169</v>
      </c>
      <c r="H460">
        <v>0.86293291931686744</v>
      </c>
    </row>
    <row r="461" spans="1:8" x14ac:dyDescent="0.3">
      <c r="A461">
        <f t="shared" si="6"/>
        <v>401</v>
      </c>
      <c r="B461">
        <v>13162074.309965029</v>
      </c>
      <c r="C461">
        <v>119998.49826785928</v>
      </c>
      <c r="D461">
        <v>243.67345925561079</v>
      </c>
      <c r="E461">
        <v>123.23272117285298</v>
      </c>
      <c r="F461">
        <v>6.3885235451658122</v>
      </c>
      <c r="G461">
        <v>12.431579993271772</v>
      </c>
      <c r="H461">
        <v>1.2809327089791633</v>
      </c>
    </row>
    <row r="462" spans="1:8" x14ac:dyDescent="0.3">
      <c r="A462">
        <f t="shared" si="6"/>
        <v>402</v>
      </c>
      <c r="B462">
        <v>23831103.434558935</v>
      </c>
      <c r="C462">
        <v>119994.11351131921</v>
      </c>
      <c r="D462">
        <v>190.77367064237256</v>
      </c>
      <c r="E462">
        <v>87.068154521191033</v>
      </c>
      <c r="F462">
        <v>2.9414676885083817</v>
      </c>
      <c r="G462">
        <v>16.463035563266821</v>
      </c>
      <c r="H462">
        <v>0.96448226483709831</v>
      </c>
    </row>
    <row r="463" spans="1:8" x14ac:dyDescent="0.3">
      <c r="A463">
        <f t="shared" si="6"/>
        <v>403</v>
      </c>
      <c r="B463">
        <v>22836174.133909553</v>
      </c>
      <c r="C463">
        <v>120002.59410255069</v>
      </c>
      <c r="D463">
        <v>204.00483316291718</v>
      </c>
      <c r="E463">
        <v>85.163891578766993</v>
      </c>
      <c r="F463">
        <v>5.2882180047095853</v>
      </c>
      <c r="G463">
        <v>7.0504140064506116</v>
      </c>
      <c r="H463">
        <v>0.95477694273630909</v>
      </c>
    </row>
    <row r="464" spans="1:8" x14ac:dyDescent="0.3">
      <c r="A464">
        <f t="shared" si="6"/>
        <v>404</v>
      </c>
      <c r="B464">
        <v>14722402.399321832</v>
      </c>
      <c r="C464">
        <v>120002.29723211481</v>
      </c>
      <c r="D464">
        <v>270.98598053485591</v>
      </c>
      <c r="E464">
        <v>88.671171196362707</v>
      </c>
      <c r="F464">
        <v>7.3082342273888976</v>
      </c>
      <c r="G464">
        <v>7.9708101148153006</v>
      </c>
      <c r="H464">
        <v>1.0365847559418824</v>
      </c>
    </row>
    <row r="465" spans="1:8" x14ac:dyDescent="0.3">
      <c r="A465">
        <f t="shared" si="6"/>
        <v>405</v>
      </c>
      <c r="B465">
        <v>24638467.60739895</v>
      </c>
      <c r="C465">
        <v>120000.92440104607</v>
      </c>
      <c r="D465">
        <v>155.37939985887189</v>
      </c>
      <c r="E465">
        <v>117.60274522119977</v>
      </c>
      <c r="F465">
        <v>6.2969411437684641</v>
      </c>
      <c r="G465">
        <v>10.529380048791497</v>
      </c>
      <c r="H465">
        <v>1.0646049701930402</v>
      </c>
    </row>
    <row r="466" spans="1:8" x14ac:dyDescent="0.3">
      <c r="A466">
        <f t="shared" si="6"/>
        <v>406</v>
      </c>
      <c r="B466">
        <v>16784026.792040907</v>
      </c>
      <c r="C466">
        <v>120004.51179815897</v>
      </c>
      <c r="D466">
        <v>214.53567888316479</v>
      </c>
      <c r="E466">
        <v>120.63585609175766</v>
      </c>
      <c r="F466">
        <v>3.051010318610845</v>
      </c>
      <c r="G466">
        <v>14.919479970084645</v>
      </c>
      <c r="H466">
        <v>0.98100689793984097</v>
      </c>
    </row>
    <row r="467" spans="1:8" x14ac:dyDescent="0.3">
      <c r="A467">
        <f t="shared" si="6"/>
        <v>407</v>
      </c>
      <c r="B467">
        <v>29281103.17055003</v>
      </c>
      <c r="C467">
        <v>119998.81882398487</v>
      </c>
      <c r="D467">
        <v>151.24582630632815</v>
      </c>
      <c r="E467">
        <v>91.021245930906645</v>
      </c>
      <c r="F467">
        <v>2.7720730263232785</v>
      </c>
      <c r="G467">
        <v>6.7201738766986763</v>
      </c>
      <c r="H467">
        <v>0.87604328109557228</v>
      </c>
    </row>
    <row r="468" spans="1:8" x14ac:dyDescent="0.3">
      <c r="A468">
        <f t="shared" si="6"/>
        <v>408</v>
      </c>
      <c r="B468">
        <v>12315007.555060573</v>
      </c>
      <c r="C468">
        <v>120000.13814144401</v>
      </c>
      <c r="D468">
        <v>265.81468688651995</v>
      </c>
      <c r="E468">
        <v>108.92213735833984</v>
      </c>
      <c r="F468">
        <v>4.4441339868127239</v>
      </c>
      <c r="G468">
        <v>12.482019171406769</v>
      </c>
      <c r="H468">
        <v>1.0336816183537165</v>
      </c>
    </row>
    <row r="469" spans="1:8" x14ac:dyDescent="0.3">
      <c r="A469">
        <f t="shared" si="6"/>
        <v>409</v>
      </c>
      <c r="B469">
        <v>12562594.471477833</v>
      </c>
      <c r="C469">
        <v>60001.821484223372</v>
      </c>
      <c r="D469">
        <v>167.42217099237644</v>
      </c>
      <c r="E469">
        <v>100.95006800131293</v>
      </c>
      <c r="F469">
        <v>6.5161434271001237</v>
      </c>
      <c r="G469">
        <v>7.5860832769626558</v>
      </c>
      <c r="H469">
        <v>0.91250284458996944</v>
      </c>
    </row>
    <row r="470" spans="1:8" x14ac:dyDescent="0.3">
      <c r="A470">
        <f t="shared" si="6"/>
        <v>410</v>
      </c>
      <c r="B470">
        <v>9221413.7502638884</v>
      </c>
      <c r="C470">
        <v>60001.077271874907</v>
      </c>
      <c r="D470">
        <v>236.35641976651962</v>
      </c>
      <c r="E470">
        <v>89.263687001814958</v>
      </c>
      <c r="F470">
        <v>7.061087564980582</v>
      </c>
      <c r="G470">
        <v>5.8102973894844094</v>
      </c>
      <c r="H470">
        <v>0.91552471757068643</v>
      </c>
    </row>
    <row r="471" spans="1:8" x14ac:dyDescent="0.3">
      <c r="A471">
        <f t="shared" si="6"/>
        <v>411</v>
      </c>
      <c r="B471">
        <v>17567976.268639065</v>
      </c>
      <c r="C471">
        <v>120005.7511322717</v>
      </c>
      <c r="D471">
        <v>218.98796884061369</v>
      </c>
      <c r="E471">
        <v>118.33734106293547</v>
      </c>
      <c r="F471">
        <v>4.8525820784067513</v>
      </c>
      <c r="G471">
        <v>8.3090535834615107</v>
      </c>
      <c r="H471">
        <v>0.98613908806279715</v>
      </c>
    </row>
    <row r="472" spans="1:8" x14ac:dyDescent="0.3">
      <c r="A472">
        <f t="shared" si="6"/>
        <v>412</v>
      </c>
      <c r="B472">
        <v>15345931.269148074</v>
      </c>
      <c r="C472">
        <v>119999.41019227165</v>
      </c>
      <c r="D472">
        <v>228.88536758481709</v>
      </c>
      <c r="E472">
        <v>123.09245198357905</v>
      </c>
      <c r="F472">
        <v>3.805184646545452</v>
      </c>
      <c r="G472">
        <v>10.766394799506104</v>
      </c>
      <c r="H472">
        <v>1.0749520554644267</v>
      </c>
    </row>
    <row r="473" spans="1:8" x14ac:dyDescent="0.3">
      <c r="A473">
        <f t="shared" si="6"/>
        <v>413</v>
      </c>
      <c r="B473">
        <v>20615870.140324816</v>
      </c>
      <c r="C473">
        <v>120003.08623407839</v>
      </c>
      <c r="D473">
        <v>165.24604479097889</v>
      </c>
      <c r="E473">
        <v>134.59846081775871</v>
      </c>
      <c r="F473">
        <v>5.3524815408894986</v>
      </c>
      <c r="G473">
        <v>17.07825088079667</v>
      </c>
      <c r="H473">
        <v>0.97379059114143351</v>
      </c>
    </row>
    <row r="474" spans="1:8" x14ac:dyDescent="0.3">
      <c r="A474">
        <f t="shared" si="6"/>
        <v>414</v>
      </c>
      <c r="B474">
        <v>18242949.307810135</v>
      </c>
      <c r="C474">
        <v>120003.57159174228</v>
      </c>
      <c r="D474">
        <v>239.62786617902924</v>
      </c>
      <c r="E474">
        <v>81.584522648846971</v>
      </c>
      <c r="F474">
        <v>4.8420450762374951</v>
      </c>
      <c r="G474">
        <v>13.111134968566258</v>
      </c>
      <c r="H474">
        <v>1.0834944898116086</v>
      </c>
    </row>
    <row r="475" spans="1:8" x14ac:dyDescent="0.3">
      <c r="A475">
        <f t="shared" si="6"/>
        <v>415</v>
      </c>
      <c r="B475">
        <v>19658920.376480535</v>
      </c>
      <c r="C475">
        <v>120011.77891690131</v>
      </c>
      <c r="D475">
        <v>218.17928511127582</v>
      </c>
      <c r="E475">
        <v>88.305752150581995</v>
      </c>
      <c r="F475">
        <v>7.9763350148962022</v>
      </c>
      <c r="G475">
        <v>14.464571747840569</v>
      </c>
      <c r="H475">
        <v>0.97604076614734181</v>
      </c>
    </row>
    <row r="476" spans="1:8" x14ac:dyDescent="0.3">
      <c r="A476">
        <f t="shared" si="6"/>
        <v>416</v>
      </c>
      <c r="B476">
        <v>8920505.3645479232</v>
      </c>
      <c r="C476">
        <v>120001.19908279752</v>
      </c>
      <c r="D476">
        <v>263.39031890317722</v>
      </c>
      <c r="E476">
        <v>146.54401351945378</v>
      </c>
      <c r="F476">
        <v>3.6967545298483477</v>
      </c>
      <c r="G476">
        <v>8.9269349691208042</v>
      </c>
      <c r="H476">
        <v>1.0740487600479014</v>
      </c>
    </row>
    <row r="477" spans="1:8" x14ac:dyDescent="0.3">
      <c r="A477">
        <f t="shared" si="6"/>
        <v>417</v>
      </c>
      <c r="B477">
        <v>19396140.16055768</v>
      </c>
      <c r="C477">
        <v>120002.7775371662</v>
      </c>
      <c r="D477">
        <v>211.01082700429365</v>
      </c>
      <c r="E477">
        <v>108.10824546800353</v>
      </c>
      <c r="F477">
        <v>5.5713226802309395</v>
      </c>
      <c r="G477">
        <v>5.0166393821054118</v>
      </c>
      <c r="H477">
        <v>0.90483875508554912</v>
      </c>
    </row>
    <row r="478" spans="1:8" x14ac:dyDescent="0.3">
      <c r="A478">
        <f t="shared" si="6"/>
        <v>418</v>
      </c>
      <c r="B478">
        <v>17403007.06279134</v>
      </c>
      <c r="C478">
        <v>119992.57657538551</v>
      </c>
      <c r="D478">
        <v>234.89942085112108</v>
      </c>
      <c r="E478">
        <v>101.89641717202065</v>
      </c>
      <c r="F478">
        <v>5.0965131713381258</v>
      </c>
      <c r="G478">
        <v>10.123579389891814</v>
      </c>
      <c r="H478">
        <v>1.1251732111703523</v>
      </c>
    </row>
    <row r="479" spans="1:8" x14ac:dyDescent="0.3">
      <c r="A479">
        <f t="shared" si="6"/>
        <v>419</v>
      </c>
      <c r="B479">
        <v>10049877.014620449</v>
      </c>
      <c r="C479">
        <v>59999.207849575418</v>
      </c>
      <c r="D479">
        <v>208.66365472602686</v>
      </c>
      <c r="E479">
        <v>100.35245259571523</v>
      </c>
      <c r="F479">
        <v>3.8908580341231076</v>
      </c>
      <c r="G479">
        <v>14.648550574837458</v>
      </c>
      <c r="H479">
        <v>0.96423003924984496</v>
      </c>
    </row>
    <row r="480" spans="1:8" x14ac:dyDescent="0.3">
      <c r="A480">
        <f t="shared" si="6"/>
        <v>420</v>
      </c>
      <c r="B480">
        <v>29917495.558692168</v>
      </c>
      <c r="C480">
        <v>119993.84340308602</v>
      </c>
      <c r="D480">
        <v>131.64734260539836</v>
      </c>
      <c r="E480">
        <v>89.347107324478699</v>
      </c>
      <c r="F480">
        <v>5.9419219714416673</v>
      </c>
      <c r="G480">
        <v>10.222175724042678</v>
      </c>
      <c r="H480">
        <v>0.87666923713613631</v>
      </c>
    </row>
    <row r="481" spans="1:8" x14ac:dyDescent="0.3">
      <c r="A481">
        <f t="shared" si="6"/>
        <v>421</v>
      </c>
      <c r="B481">
        <v>17166524.713673905</v>
      </c>
      <c r="C481">
        <v>119998.27633547824</v>
      </c>
      <c r="D481">
        <v>222.60769144681376</v>
      </c>
      <c r="E481">
        <v>113.29201302043967</v>
      </c>
      <c r="F481">
        <v>4.3023981528595607</v>
      </c>
      <c r="G481">
        <v>11.782835271800863</v>
      </c>
      <c r="H481">
        <v>0.95834127482010922</v>
      </c>
    </row>
    <row r="482" spans="1:8" x14ac:dyDescent="0.3">
      <c r="A482">
        <f t="shared" si="6"/>
        <v>422</v>
      </c>
      <c r="B482">
        <v>22562460.896845341</v>
      </c>
      <c r="C482">
        <v>119997.5866555017</v>
      </c>
      <c r="D482">
        <v>185.2292741239757</v>
      </c>
      <c r="E482">
        <v>109.61198315888684</v>
      </c>
      <c r="F482">
        <v>4.1420028819883603</v>
      </c>
      <c r="G482">
        <v>5.9183071965187093</v>
      </c>
      <c r="H482">
        <v>0.99509953391669714</v>
      </c>
    </row>
    <row r="483" spans="1:8" x14ac:dyDescent="0.3">
      <c r="A483">
        <f t="shared" si="6"/>
        <v>423</v>
      </c>
      <c r="B483">
        <v>25974454.161988467</v>
      </c>
      <c r="C483">
        <v>119996.1592863314</v>
      </c>
      <c r="D483">
        <v>189.16618651312737</v>
      </c>
      <c r="E483">
        <v>73.452293844151342</v>
      </c>
      <c r="F483">
        <v>6.4613804481136201</v>
      </c>
      <c r="G483">
        <v>7.0527794354943518</v>
      </c>
      <c r="H483">
        <v>0.83943665868937245</v>
      </c>
    </row>
    <row r="484" spans="1:8" x14ac:dyDescent="0.3">
      <c r="A484">
        <f t="shared" si="6"/>
        <v>424</v>
      </c>
      <c r="B484">
        <v>21491696.71314951</v>
      </c>
      <c r="C484">
        <v>119994.1797399311</v>
      </c>
      <c r="D484">
        <v>207.92806316864619</v>
      </c>
      <c r="E484">
        <v>91.972530121325988</v>
      </c>
      <c r="F484">
        <v>2.0178489193140772</v>
      </c>
      <c r="G484">
        <v>13.983887946825716</v>
      </c>
      <c r="H484">
        <v>0.92227501500247411</v>
      </c>
    </row>
    <row r="485" spans="1:8" x14ac:dyDescent="0.3">
      <c r="A485">
        <f t="shared" si="6"/>
        <v>425</v>
      </c>
      <c r="B485">
        <v>24090834.395980649</v>
      </c>
      <c r="C485">
        <v>119997.1198684628</v>
      </c>
      <c r="D485">
        <v>167.16981472799583</v>
      </c>
      <c r="E485">
        <v>112.3948856013055</v>
      </c>
      <c r="F485">
        <v>5.5307739197376824</v>
      </c>
      <c r="G485">
        <v>11.080258382391122</v>
      </c>
      <c r="H485">
        <v>0.97780885543242002</v>
      </c>
    </row>
    <row r="486" spans="1:8" x14ac:dyDescent="0.3">
      <c r="A486">
        <f t="shared" si="6"/>
        <v>426</v>
      </c>
      <c r="B486">
        <v>24632057.340471737</v>
      </c>
      <c r="C486">
        <v>120002.21713903984</v>
      </c>
      <c r="D486">
        <v>159.67708036142704</v>
      </c>
      <c r="E486">
        <v>120.01358682620275</v>
      </c>
      <c r="F486">
        <v>2.3781479516971684</v>
      </c>
      <c r="G486">
        <v>7.4256698423260694</v>
      </c>
      <c r="H486">
        <v>0.97956816285083503</v>
      </c>
    </row>
    <row r="487" spans="1:8" x14ac:dyDescent="0.3">
      <c r="A487">
        <f t="shared" si="6"/>
        <v>427</v>
      </c>
      <c r="B487">
        <v>14286978.545669425</v>
      </c>
      <c r="C487">
        <v>60001.850074392751</v>
      </c>
      <c r="D487">
        <v>147.07462720442734</v>
      </c>
      <c r="E487">
        <v>83.661010210185452</v>
      </c>
      <c r="F487">
        <v>7.0409059439552237</v>
      </c>
      <c r="G487">
        <v>11.320950743721927</v>
      </c>
      <c r="H487">
        <v>0.92276073937444691</v>
      </c>
    </row>
    <row r="488" spans="1:8" x14ac:dyDescent="0.3">
      <c r="A488">
        <f t="shared" si="6"/>
        <v>428</v>
      </c>
      <c r="B488">
        <v>30756437.100800697</v>
      </c>
      <c r="C488">
        <v>119992.23760664176</v>
      </c>
      <c r="D488">
        <v>147.10824837532846</v>
      </c>
      <c r="E488">
        <v>73.330488414387588</v>
      </c>
      <c r="F488">
        <v>5.0103310787511521</v>
      </c>
      <c r="G488">
        <v>10.415819628318264</v>
      </c>
      <c r="H488">
        <v>1.02186219251911</v>
      </c>
    </row>
    <row r="489" spans="1:8" x14ac:dyDescent="0.3">
      <c r="A489">
        <f t="shared" si="6"/>
        <v>429</v>
      </c>
      <c r="B489">
        <v>15175546.511364684</v>
      </c>
      <c r="C489">
        <v>120002.32746393804</v>
      </c>
      <c r="D489">
        <v>247.3265076072029</v>
      </c>
      <c r="E489">
        <v>99.014358761258976</v>
      </c>
      <c r="F489">
        <v>3.9256172240279525</v>
      </c>
      <c r="G489">
        <v>15.82588510491361</v>
      </c>
      <c r="H489">
        <v>1.0670225132559317</v>
      </c>
    </row>
    <row r="490" spans="1:8" x14ac:dyDescent="0.3">
      <c r="A490">
        <f t="shared" si="6"/>
        <v>430</v>
      </c>
      <c r="B490">
        <v>24051420.374797828</v>
      </c>
      <c r="C490">
        <v>120000.75135208403</v>
      </c>
      <c r="D490">
        <v>209.00281887192452</v>
      </c>
      <c r="E490">
        <v>72.068539792656367</v>
      </c>
      <c r="F490">
        <v>4.3966172158055974</v>
      </c>
      <c r="G490">
        <v>7.3402884132063893</v>
      </c>
      <c r="H490">
        <v>0.91532771015910153</v>
      </c>
    </row>
    <row r="491" spans="1:8" x14ac:dyDescent="0.3">
      <c r="A491">
        <f t="shared" si="6"/>
        <v>431</v>
      </c>
      <c r="B491">
        <v>28462822.867128644</v>
      </c>
      <c r="C491">
        <v>120005.47261003149</v>
      </c>
      <c r="D491">
        <v>135.82681913218153</v>
      </c>
      <c r="E491">
        <v>104.28597439416818</v>
      </c>
      <c r="F491">
        <v>6.2769129644965238</v>
      </c>
      <c r="G491">
        <v>10.066597146320136</v>
      </c>
      <c r="H491">
        <v>0.8975948333715924</v>
      </c>
    </row>
    <row r="492" spans="1:8" x14ac:dyDescent="0.3">
      <c r="A492">
        <f t="shared" si="6"/>
        <v>432</v>
      </c>
      <c r="B492">
        <v>21894237.123416439</v>
      </c>
      <c r="C492">
        <v>119997.09345305877</v>
      </c>
      <c r="D492">
        <v>200.81126437446571</v>
      </c>
      <c r="E492">
        <v>91.688375205616168</v>
      </c>
      <c r="F492">
        <v>7.1582200245751491</v>
      </c>
      <c r="G492">
        <v>9.5456626211944187</v>
      </c>
      <c r="H492">
        <v>0.83083287758232682</v>
      </c>
    </row>
    <row r="493" spans="1:8" x14ac:dyDescent="0.3">
      <c r="A493">
        <f t="shared" si="6"/>
        <v>433</v>
      </c>
      <c r="B493">
        <v>29626579.377594423</v>
      </c>
      <c r="C493">
        <v>120001.35710814119</v>
      </c>
      <c r="D493">
        <v>131.50683641348331</v>
      </c>
      <c r="E493">
        <v>97.591695552480729</v>
      </c>
      <c r="F493">
        <v>0.67578494650457088</v>
      </c>
      <c r="G493">
        <v>13.254332498718338</v>
      </c>
      <c r="H493">
        <v>0.98596984047239833</v>
      </c>
    </row>
    <row r="494" spans="1:8" x14ac:dyDescent="0.3">
      <c r="A494">
        <f t="shared" si="6"/>
        <v>434</v>
      </c>
      <c r="B494">
        <v>28039876.123363964</v>
      </c>
      <c r="C494">
        <v>120008.49028835712</v>
      </c>
      <c r="D494">
        <v>139.932040628603</v>
      </c>
      <c r="E494">
        <v>91.252300649921281</v>
      </c>
      <c r="F494">
        <v>5.6520276791036066</v>
      </c>
      <c r="G494">
        <v>17.552522544117629</v>
      </c>
      <c r="H494">
        <v>0.8214635958691161</v>
      </c>
    </row>
    <row r="495" spans="1:8" x14ac:dyDescent="0.3">
      <c r="A495">
        <f t="shared" si="6"/>
        <v>435</v>
      </c>
      <c r="B495">
        <v>9374488.3102153987</v>
      </c>
      <c r="C495">
        <v>119996.94266680474</v>
      </c>
      <c r="D495">
        <v>293.26888634299456</v>
      </c>
      <c r="E495">
        <v>103.91428555162545</v>
      </c>
      <c r="F495">
        <v>5.2007468401554346</v>
      </c>
      <c r="G495">
        <v>14.626233806939034</v>
      </c>
      <c r="H495">
        <v>1.1562349639201466</v>
      </c>
    </row>
    <row r="496" spans="1:8" x14ac:dyDescent="0.3">
      <c r="A496">
        <f t="shared" si="6"/>
        <v>436</v>
      </c>
      <c r="B496">
        <v>24190243.463821612</v>
      </c>
      <c r="C496">
        <v>120007.23965549874</v>
      </c>
      <c r="D496">
        <v>187.34458842677537</v>
      </c>
      <c r="E496">
        <v>88.695891993607376</v>
      </c>
      <c r="F496">
        <v>6.0907965303417697</v>
      </c>
      <c r="G496">
        <v>10.272954799883522</v>
      </c>
      <c r="H496">
        <v>0.92056646529330299</v>
      </c>
    </row>
    <row r="497" spans="1:8" x14ac:dyDescent="0.3">
      <c r="A497">
        <f t="shared" si="6"/>
        <v>437</v>
      </c>
      <c r="B497">
        <v>23358860.183615021</v>
      </c>
      <c r="C497">
        <v>120003.54094977438</v>
      </c>
      <c r="D497">
        <v>183.71478688190732</v>
      </c>
      <c r="E497">
        <v>95.865888816089054</v>
      </c>
      <c r="F497">
        <v>4.6683134237762101</v>
      </c>
      <c r="G497">
        <v>11.675151627599323</v>
      </c>
      <c r="H497">
        <v>0.94679874581132906</v>
      </c>
    </row>
    <row r="498" spans="1:8" x14ac:dyDescent="0.3">
      <c r="A498">
        <f t="shared" si="6"/>
        <v>438</v>
      </c>
      <c r="B498">
        <v>15758724.948632732</v>
      </c>
      <c r="C498">
        <v>119996.49599042523</v>
      </c>
      <c r="D498">
        <v>233.83329545203668</v>
      </c>
      <c r="E498">
        <v>114.47102248825746</v>
      </c>
      <c r="F498">
        <v>3.2921660776541946</v>
      </c>
      <c r="G498">
        <v>11.764867527652832</v>
      </c>
      <c r="H498">
        <v>0.92311563583528988</v>
      </c>
    </row>
    <row r="499" spans="1:8" x14ac:dyDescent="0.3">
      <c r="A499">
        <f t="shared" si="6"/>
        <v>439</v>
      </c>
      <c r="B499">
        <v>24155582.657604724</v>
      </c>
      <c r="C499">
        <v>119997.88794507123</v>
      </c>
      <c r="D499">
        <v>168.69116081881856</v>
      </c>
      <c r="E499">
        <v>106.67649990391567</v>
      </c>
      <c r="F499">
        <v>4.5952518057036116</v>
      </c>
      <c r="G499">
        <v>11.553141109113252</v>
      </c>
      <c r="H499">
        <v>0.98552858228122231</v>
      </c>
    </row>
    <row r="500" spans="1:8" x14ac:dyDescent="0.3">
      <c r="A500">
        <f t="shared" si="6"/>
        <v>440</v>
      </c>
      <c r="B500">
        <v>20253209.402650647</v>
      </c>
      <c r="C500">
        <v>120004.36248029798</v>
      </c>
      <c r="D500">
        <v>198.00246967417522</v>
      </c>
      <c r="E500">
        <v>117.30388390811426</v>
      </c>
      <c r="F500">
        <v>3.7150904690199047</v>
      </c>
      <c r="G500">
        <v>4.9370967825242991</v>
      </c>
      <c r="H500">
        <v>0.92396995564959417</v>
      </c>
    </row>
    <row r="501" spans="1:8" x14ac:dyDescent="0.3">
      <c r="A501">
        <f t="shared" si="6"/>
        <v>441</v>
      </c>
      <c r="B501">
        <v>17343154.120782889</v>
      </c>
      <c r="C501">
        <v>119997.89391147581</v>
      </c>
      <c r="D501">
        <v>216.60499990523212</v>
      </c>
      <c r="E501">
        <v>114.85906138426223</v>
      </c>
      <c r="F501">
        <v>9.053901124686444</v>
      </c>
      <c r="G501">
        <v>8.3075992082445325</v>
      </c>
      <c r="H501">
        <v>1.10970549202916</v>
      </c>
    </row>
    <row r="502" spans="1:8" x14ac:dyDescent="0.3">
      <c r="A502">
        <f t="shared" si="6"/>
        <v>442</v>
      </c>
      <c r="B502">
        <v>28042916.389150999</v>
      </c>
      <c r="C502">
        <v>119996.40589605107</v>
      </c>
      <c r="D502">
        <v>123.39561538305742</v>
      </c>
      <c r="E502">
        <v>116.96518587331643</v>
      </c>
      <c r="F502">
        <v>6.7327273855412031</v>
      </c>
      <c r="G502">
        <v>7.5198041931422956</v>
      </c>
      <c r="H502">
        <v>1.1099260818236869</v>
      </c>
    </row>
    <row r="503" spans="1:8" x14ac:dyDescent="0.3">
      <c r="A503">
        <f t="shared" si="6"/>
        <v>443</v>
      </c>
      <c r="B503">
        <v>30338178.988998502</v>
      </c>
      <c r="C503">
        <v>119994.48601112564</v>
      </c>
      <c r="D503">
        <v>132.97133475592281</v>
      </c>
      <c r="E503">
        <v>92.604454267899001</v>
      </c>
      <c r="F503">
        <v>6.8528673587975089</v>
      </c>
      <c r="G503">
        <v>9.312900109796022</v>
      </c>
      <c r="H503">
        <v>0.94523777357635974</v>
      </c>
    </row>
    <row r="504" spans="1:8" x14ac:dyDescent="0.3">
      <c r="A504">
        <f t="shared" si="6"/>
        <v>444</v>
      </c>
      <c r="B504">
        <v>36836500.987466022</v>
      </c>
      <c r="C504">
        <v>120005.16383548538</v>
      </c>
      <c r="D504">
        <v>114.13905830266292</v>
      </c>
      <c r="E504">
        <v>56.454645056099537</v>
      </c>
      <c r="F504">
        <v>6.3360028060924671</v>
      </c>
      <c r="G504">
        <v>11.445822351131174</v>
      </c>
      <c r="H504">
        <v>0.90527125210173054</v>
      </c>
    </row>
    <row r="505" spans="1:8" x14ac:dyDescent="0.3">
      <c r="A505">
        <f t="shared" si="6"/>
        <v>445</v>
      </c>
      <c r="B505">
        <v>16155115.721988</v>
      </c>
      <c r="C505">
        <v>119996.36753410118</v>
      </c>
      <c r="D505">
        <v>236.62054642310449</v>
      </c>
      <c r="E505">
        <v>104.76202513908783</v>
      </c>
      <c r="F505">
        <v>4.4816558737665204</v>
      </c>
      <c r="G505">
        <v>13.5721594779619</v>
      </c>
      <c r="H505">
        <v>1.0105965855948371</v>
      </c>
    </row>
    <row r="506" spans="1:8" x14ac:dyDescent="0.3">
      <c r="A506">
        <f t="shared" si="6"/>
        <v>446</v>
      </c>
      <c r="B506">
        <v>21652957.503347963</v>
      </c>
      <c r="C506">
        <v>119999.67659803145</v>
      </c>
      <c r="D506">
        <v>205.97963118072269</v>
      </c>
      <c r="E506">
        <v>102.5390187733388</v>
      </c>
      <c r="F506">
        <v>3.2895280238678501</v>
      </c>
      <c r="G506">
        <v>3.6127029123078707</v>
      </c>
      <c r="H506">
        <v>0.8839647774256324</v>
      </c>
    </row>
    <row r="507" spans="1:8" x14ac:dyDescent="0.3">
      <c r="A507">
        <f t="shared" si="6"/>
        <v>447</v>
      </c>
      <c r="B507">
        <v>21633797.466283754</v>
      </c>
      <c r="C507">
        <v>120002.35698729545</v>
      </c>
      <c r="D507">
        <v>186.29102367473078</v>
      </c>
      <c r="E507">
        <v>113.74911827728721</v>
      </c>
      <c r="F507">
        <v>3.055600003037874</v>
      </c>
      <c r="G507">
        <v>11.337355262236141</v>
      </c>
      <c r="H507">
        <v>1.052530323747052</v>
      </c>
    </row>
    <row r="508" spans="1:8" x14ac:dyDescent="0.3">
      <c r="A508">
        <f t="shared" si="6"/>
        <v>448</v>
      </c>
      <c r="B508">
        <v>20037494.608845711</v>
      </c>
      <c r="C508">
        <v>120004.76162379864</v>
      </c>
      <c r="D508">
        <v>204.55580519129154</v>
      </c>
      <c r="E508">
        <v>99.117423688483768</v>
      </c>
      <c r="F508">
        <v>3.4097114948132479</v>
      </c>
      <c r="G508">
        <v>17.22379694110937</v>
      </c>
      <c r="H508">
        <v>1.1138144712571534</v>
      </c>
    </row>
    <row r="509" spans="1:8" x14ac:dyDescent="0.3">
      <c r="A509">
        <f t="shared" si="6"/>
        <v>449</v>
      </c>
      <c r="B509">
        <v>22067469.543629497</v>
      </c>
      <c r="C509">
        <v>119999.3604140454</v>
      </c>
      <c r="D509">
        <v>188.93586146635917</v>
      </c>
      <c r="E509">
        <v>109.68129549649228</v>
      </c>
      <c r="F509">
        <v>2.2692697373413027</v>
      </c>
      <c r="G509">
        <v>11.73126926541679</v>
      </c>
      <c r="H509">
        <v>0.90256816071790757</v>
      </c>
    </row>
    <row r="510" spans="1:8" x14ac:dyDescent="0.3">
      <c r="A510">
        <f t="shared" si="6"/>
        <v>450</v>
      </c>
      <c r="B510">
        <v>22617976.952850185</v>
      </c>
      <c r="C510">
        <v>120000.73191245616</v>
      </c>
      <c r="D510">
        <v>182.14725656066389</v>
      </c>
      <c r="E510">
        <v>109.07418010198188</v>
      </c>
      <c r="F510">
        <v>1.6368509880713136</v>
      </c>
      <c r="G510">
        <v>13.229907852593398</v>
      </c>
      <c r="H510">
        <v>0.84173496692137373</v>
      </c>
    </row>
    <row r="511" spans="1:8" x14ac:dyDescent="0.3">
      <c r="A511">
        <f t="shared" ref="A511:A574" si="7">A510+1</f>
        <v>451</v>
      </c>
      <c r="B511">
        <v>19636743.459973991</v>
      </c>
      <c r="C511">
        <v>119996.50202484202</v>
      </c>
      <c r="D511">
        <v>202.89335772848449</v>
      </c>
      <c r="E511">
        <v>116.07345885486941</v>
      </c>
      <c r="F511">
        <v>3.4730232134068322</v>
      </c>
      <c r="G511">
        <v>10.242833829374378</v>
      </c>
      <c r="H511">
        <v>1.0744694057557782</v>
      </c>
    </row>
    <row r="512" spans="1:8" x14ac:dyDescent="0.3">
      <c r="A512">
        <f t="shared" si="7"/>
        <v>452</v>
      </c>
      <c r="B512">
        <v>20898416.921954304</v>
      </c>
      <c r="C512">
        <v>119995.36907967005</v>
      </c>
      <c r="D512">
        <v>180.07197120903186</v>
      </c>
      <c r="E512">
        <v>115.71327459941479</v>
      </c>
      <c r="F512">
        <v>9.1280706778044625</v>
      </c>
      <c r="G512">
        <v>11.257815593423667</v>
      </c>
      <c r="H512">
        <v>1.0664975753993411</v>
      </c>
    </row>
    <row r="513" spans="1:8" x14ac:dyDescent="0.3">
      <c r="A513">
        <f t="shared" si="7"/>
        <v>453</v>
      </c>
      <c r="B513">
        <v>28152522.364327878</v>
      </c>
      <c r="C513">
        <v>120003.37257957979</v>
      </c>
      <c r="D513">
        <v>156.60721194075765</v>
      </c>
      <c r="E513">
        <v>89.228108595861244</v>
      </c>
      <c r="F513">
        <v>3.1357292821706899</v>
      </c>
      <c r="G513">
        <v>10.243375037797902</v>
      </c>
      <c r="H513">
        <v>0.8551390471173429</v>
      </c>
    </row>
    <row r="514" spans="1:8" x14ac:dyDescent="0.3">
      <c r="A514">
        <f t="shared" si="7"/>
        <v>454</v>
      </c>
      <c r="B514">
        <v>26366545.218727585</v>
      </c>
      <c r="C514">
        <v>120001.6489622323</v>
      </c>
      <c r="D514">
        <v>171.0077519141785</v>
      </c>
      <c r="E514">
        <v>86.426944351703497</v>
      </c>
      <c r="F514">
        <v>2.9926942994321837</v>
      </c>
      <c r="G514">
        <v>10.490321905503944</v>
      </c>
      <c r="H514">
        <v>1.019284120888984</v>
      </c>
    </row>
    <row r="515" spans="1:8" x14ac:dyDescent="0.3">
      <c r="A515">
        <f t="shared" si="7"/>
        <v>455</v>
      </c>
      <c r="B515">
        <v>16010012.327760704</v>
      </c>
      <c r="C515">
        <v>119995.1262091141</v>
      </c>
      <c r="D515">
        <v>255.38572813859329</v>
      </c>
      <c r="E515">
        <v>80.600063599432502</v>
      </c>
      <c r="F515">
        <v>5.9241023069398082</v>
      </c>
      <c r="G515">
        <v>17.13832564550858</v>
      </c>
      <c r="H515">
        <v>1.1294459592526858</v>
      </c>
    </row>
    <row r="516" spans="1:8" x14ac:dyDescent="0.3">
      <c r="A516">
        <f t="shared" si="7"/>
        <v>456</v>
      </c>
      <c r="B516">
        <v>27143581.065261219</v>
      </c>
      <c r="C516">
        <v>119999.68803664255</v>
      </c>
      <c r="D516">
        <v>152.26183506056563</v>
      </c>
      <c r="E516">
        <v>102.27652355492636</v>
      </c>
      <c r="F516">
        <v>2.5758080493856288</v>
      </c>
      <c r="G516">
        <v>8.3270391689746681</v>
      </c>
      <c r="H516">
        <v>0.87297862221191325</v>
      </c>
    </row>
    <row r="517" spans="1:8" x14ac:dyDescent="0.3">
      <c r="A517">
        <f t="shared" si="7"/>
        <v>457</v>
      </c>
      <c r="B517">
        <v>22315591.809134893</v>
      </c>
      <c r="C517">
        <v>120002.64949037929</v>
      </c>
      <c r="D517">
        <v>219.793110898625</v>
      </c>
      <c r="E517">
        <v>78.873175389613834</v>
      </c>
      <c r="F517">
        <v>0</v>
      </c>
      <c r="G517">
        <v>9.1202855735200057</v>
      </c>
      <c r="H517">
        <v>1.0517622369006254</v>
      </c>
    </row>
    <row r="518" spans="1:8" x14ac:dyDescent="0.3">
      <c r="A518">
        <f t="shared" si="7"/>
        <v>458</v>
      </c>
      <c r="B518">
        <v>7201071.3595464826</v>
      </c>
      <c r="C518">
        <v>120000.89183637119</v>
      </c>
      <c r="D518">
        <v>321.63536339535204</v>
      </c>
      <c r="E518">
        <v>103.45708369259106</v>
      </c>
      <c r="F518">
        <v>4.5438444929383062</v>
      </c>
      <c r="G518">
        <v>7.3137867983470137</v>
      </c>
      <c r="H518">
        <v>1.1811096457034607</v>
      </c>
    </row>
    <row r="519" spans="1:8" x14ac:dyDescent="0.3">
      <c r="A519">
        <f t="shared" si="7"/>
        <v>459</v>
      </c>
      <c r="B519">
        <v>19008253.323275283</v>
      </c>
      <c r="C519">
        <v>119993.87525511262</v>
      </c>
      <c r="D519">
        <v>202.26333881833614</v>
      </c>
      <c r="E519">
        <v>114.41731836892767</v>
      </c>
      <c r="F519">
        <v>5.7631480118387017</v>
      </c>
      <c r="G519">
        <v>14.805634395739995</v>
      </c>
      <c r="H519">
        <v>0.84527352443461479</v>
      </c>
    </row>
    <row r="520" spans="1:8" x14ac:dyDescent="0.3">
      <c r="A520">
        <f t="shared" si="7"/>
        <v>460</v>
      </c>
      <c r="B520">
        <v>25583108.713328619</v>
      </c>
      <c r="C520">
        <v>120000.29142931137</v>
      </c>
      <c r="D520">
        <v>134.95272859741738</v>
      </c>
      <c r="E520">
        <v>119.2312406965672</v>
      </c>
      <c r="F520">
        <v>6.179509804482227</v>
      </c>
      <c r="G520">
        <v>14.492467876275407</v>
      </c>
      <c r="H520">
        <v>0.92658273824157023</v>
      </c>
    </row>
    <row r="521" spans="1:8" x14ac:dyDescent="0.3">
      <c r="A521">
        <f t="shared" si="7"/>
        <v>461</v>
      </c>
      <c r="B521">
        <v>13678081.505679965</v>
      </c>
      <c r="C521">
        <v>120004.19763920215</v>
      </c>
      <c r="D521">
        <v>275.57532863675607</v>
      </c>
      <c r="E521">
        <v>90.79920877150758</v>
      </c>
      <c r="F521">
        <v>4.2249646562677716</v>
      </c>
      <c r="G521">
        <v>11.176687324704046</v>
      </c>
      <c r="H521">
        <v>1.0588361403200783</v>
      </c>
    </row>
    <row r="522" spans="1:8" x14ac:dyDescent="0.3">
      <c r="A522">
        <f t="shared" si="7"/>
        <v>462</v>
      </c>
      <c r="B522">
        <v>27212955.878366008</v>
      </c>
      <c r="C522">
        <v>120008.41368287984</v>
      </c>
      <c r="D522">
        <v>168.00285878293764</v>
      </c>
      <c r="E522">
        <v>87.810255575109423</v>
      </c>
      <c r="F522">
        <v>3.2116350398795861</v>
      </c>
      <c r="G522">
        <v>8.6796381047482782</v>
      </c>
      <c r="H522">
        <v>1.1136914233683135</v>
      </c>
    </row>
    <row r="523" spans="1:8" x14ac:dyDescent="0.3">
      <c r="A523">
        <f t="shared" si="7"/>
        <v>463</v>
      </c>
      <c r="B523">
        <v>18892551.839524649</v>
      </c>
      <c r="C523">
        <v>119993.16444231407</v>
      </c>
      <c r="D523">
        <v>236.61356938089122</v>
      </c>
      <c r="E523">
        <v>87.038910499718597</v>
      </c>
      <c r="F523">
        <v>7.2135283385816322</v>
      </c>
      <c r="G523">
        <v>4.8811563568530563</v>
      </c>
      <c r="H523">
        <v>0.99259302524896709</v>
      </c>
    </row>
    <row r="524" spans="1:8" x14ac:dyDescent="0.3">
      <c r="A524">
        <f t="shared" si="7"/>
        <v>464</v>
      </c>
      <c r="B524">
        <v>24012312.708405025</v>
      </c>
      <c r="C524">
        <v>120003.38616936865</v>
      </c>
      <c r="D524">
        <v>146.0267922069481</v>
      </c>
      <c r="E524">
        <v>130.7471907064419</v>
      </c>
      <c r="F524">
        <v>6.0772182751473851</v>
      </c>
      <c r="G524">
        <v>12.509972184133829</v>
      </c>
      <c r="H524">
        <v>0.82941032736058318</v>
      </c>
    </row>
    <row r="525" spans="1:8" x14ac:dyDescent="0.3">
      <c r="A525">
        <f t="shared" si="7"/>
        <v>465</v>
      </c>
      <c r="B525">
        <v>25302254.442656949</v>
      </c>
      <c r="C525">
        <v>119998.71932166808</v>
      </c>
      <c r="D525">
        <v>157.18040073660097</v>
      </c>
      <c r="E525">
        <v>104.63737752967195</v>
      </c>
      <c r="F525">
        <v>4.3390628775793267</v>
      </c>
      <c r="G525">
        <v>11.802190499616323</v>
      </c>
      <c r="H525">
        <v>0.99534086983407188</v>
      </c>
    </row>
    <row r="526" spans="1:8" x14ac:dyDescent="0.3">
      <c r="A526">
        <f t="shared" si="7"/>
        <v>466</v>
      </c>
      <c r="B526">
        <v>25079502.899101276</v>
      </c>
      <c r="C526">
        <v>119999.18968511278</v>
      </c>
      <c r="D526">
        <v>143.43064454887369</v>
      </c>
      <c r="E526">
        <v>123.74336696620634</v>
      </c>
      <c r="F526">
        <v>5.9862195194614793</v>
      </c>
      <c r="G526">
        <v>11.143530865044257</v>
      </c>
      <c r="H526">
        <v>0.89306094181321083</v>
      </c>
    </row>
    <row r="527" spans="1:8" x14ac:dyDescent="0.3">
      <c r="A527">
        <f t="shared" si="7"/>
        <v>467</v>
      </c>
      <c r="B527">
        <v>26512940.203109805</v>
      </c>
      <c r="C527">
        <v>119997.93562199906</v>
      </c>
      <c r="D527">
        <v>166.57836743426233</v>
      </c>
      <c r="E527">
        <v>98.909417306009459</v>
      </c>
      <c r="F527">
        <v>1.2895152917458139</v>
      </c>
      <c r="G527">
        <v>8.6702758873814147</v>
      </c>
      <c r="H527">
        <v>0.87969270826787938</v>
      </c>
    </row>
    <row r="528" spans="1:8" x14ac:dyDescent="0.3">
      <c r="A528">
        <f t="shared" si="7"/>
        <v>468</v>
      </c>
      <c r="B528">
        <v>8957459.1732926741</v>
      </c>
      <c r="C528">
        <v>120005.54685538239</v>
      </c>
      <c r="D528">
        <v>271.60808163758975</v>
      </c>
      <c r="E528">
        <v>132.88783750426407</v>
      </c>
      <c r="F528">
        <v>9.175164495154263</v>
      </c>
      <c r="G528">
        <v>7.8975018746065073</v>
      </c>
      <c r="H528">
        <v>1.1092363185023575</v>
      </c>
    </row>
    <row r="529" spans="1:8" x14ac:dyDescent="0.3">
      <c r="A529">
        <f t="shared" si="7"/>
        <v>469</v>
      </c>
      <c r="B529">
        <v>24212133.796440475</v>
      </c>
      <c r="C529">
        <v>119996.50288172453</v>
      </c>
      <c r="D529">
        <v>179.51278765822033</v>
      </c>
      <c r="E529">
        <v>103.80039364562559</v>
      </c>
      <c r="F529">
        <v>3.126170237296658</v>
      </c>
      <c r="G529">
        <v>6.0789949576155706</v>
      </c>
      <c r="H529">
        <v>0.92450287863213909</v>
      </c>
    </row>
    <row r="530" spans="1:8" x14ac:dyDescent="0.3">
      <c r="A530">
        <f t="shared" si="7"/>
        <v>470</v>
      </c>
      <c r="B530">
        <v>29389397.803562611</v>
      </c>
      <c r="C530">
        <v>120003.55222445614</v>
      </c>
      <c r="D530">
        <v>116.0233292623124</v>
      </c>
      <c r="E530">
        <v>121.3311789896466</v>
      </c>
      <c r="F530">
        <v>5.3330071040699547</v>
      </c>
      <c r="G530">
        <v>6.0058130328296553</v>
      </c>
      <c r="H530">
        <v>0.88792723639152227</v>
      </c>
    </row>
    <row r="531" spans="1:8" x14ac:dyDescent="0.3">
      <c r="A531">
        <f t="shared" si="7"/>
        <v>471</v>
      </c>
      <c r="B531">
        <v>25433582.504056606</v>
      </c>
      <c r="C531">
        <v>120007.50171258436</v>
      </c>
      <c r="D531">
        <v>197.29051734765295</v>
      </c>
      <c r="E531">
        <v>66.319918139128873</v>
      </c>
      <c r="F531">
        <v>5.0317043820569305</v>
      </c>
      <c r="G531">
        <v>11.241880680394415</v>
      </c>
      <c r="H531">
        <v>0.90796112294775444</v>
      </c>
    </row>
    <row r="532" spans="1:8" x14ac:dyDescent="0.3">
      <c r="A532">
        <f t="shared" si="7"/>
        <v>472</v>
      </c>
      <c r="B532">
        <v>15056032.220079884</v>
      </c>
      <c r="C532">
        <v>119999.77756260212</v>
      </c>
      <c r="D532">
        <v>234.8730904341748</v>
      </c>
      <c r="E532">
        <v>128.34152867811494</v>
      </c>
      <c r="F532">
        <v>4.6488138689641296</v>
      </c>
      <c r="G532">
        <v>3.9291142284039209</v>
      </c>
      <c r="H532">
        <v>1.1549110767056117</v>
      </c>
    </row>
    <row r="533" spans="1:8" x14ac:dyDescent="0.3">
      <c r="A533">
        <f t="shared" si="7"/>
        <v>473</v>
      </c>
      <c r="B533">
        <v>24160843.63010063</v>
      </c>
      <c r="C533">
        <v>120003.09402130952</v>
      </c>
      <c r="D533">
        <v>183.51738509990977</v>
      </c>
      <c r="E533">
        <v>93.424128541399369</v>
      </c>
      <c r="F533">
        <v>4.5082355943225725</v>
      </c>
      <c r="G533">
        <v>8.9009097913627038</v>
      </c>
      <c r="H533">
        <v>1.0325372394237819</v>
      </c>
    </row>
    <row r="534" spans="1:8" x14ac:dyDescent="0.3">
      <c r="A534">
        <f t="shared" si="7"/>
        <v>474</v>
      </c>
      <c r="B534">
        <v>14669822.608452648</v>
      </c>
      <c r="C534">
        <v>119997.38874308366</v>
      </c>
      <c r="D534">
        <v>243.69023750696624</v>
      </c>
      <c r="E534">
        <v>116.07707370564584</v>
      </c>
      <c r="F534">
        <v>2.220375446132461</v>
      </c>
      <c r="G534">
        <v>12.153557343370469</v>
      </c>
      <c r="H534">
        <v>1.2125940296388911</v>
      </c>
    </row>
    <row r="535" spans="1:8" x14ac:dyDescent="0.3">
      <c r="A535">
        <f t="shared" si="7"/>
        <v>475</v>
      </c>
      <c r="B535">
        <v>27614832.810237464</v>
      </c>
      <c r="C535">
        <v>119999.30002207303</v>
      </c>
      <c r="D535">
        <v>147.28702114183872</v>
      </c>
      <c r="E535">
        <v>96.788428667265634</v>
      </c>
      <c r="F535">
        <v>2.994055553656187</v>
      </c>
      <c r="G535">
        <v>10.010561767054721</v>
      </c>
      <c r="H535">
        <v>0.93156518090530593</v>
      </c>
    </row>
    <row r="536" spans="1:8" x14ac:dyDescent="0.3">
      <c r="A536">
        <f t="shared" si="7"/>
        <v>476</v>
      </c>
      <c r="B536">
        <v>27455080.195820548</v>
      </c>
      <c r="C536">
        <v>119999.40209760438</v>
      </c>
      <c r="D536">
        <v>151.8492821574535</v>
      </c>
      <c r="E536">
        <v>98.986906923180101</v>
      </c>
      <c r="F536">
        <v>4.5116256384668283</v>
      </c>
      <c r="G536">
        <v>11.039286819030888</v>
      </c>
      <c r="H536">
        <v>0.92591288326339161</v>
      </c>
    </row>
    <row r="537" spans="1:8" x14ac:dyDescent="0.3">
      <c r="A537">
        <f t="shared" si="7"/>
        <v>477</v>
      </c>
      <c r="B537">
        <v>16684786.774535291</v>
      </c>
      <c r="C537">
        <v>120000.2880872283</v>
      </c>
      <c r="D537">
        <v>222.26985744235125</v>
      </c>
      <c r="E537">
        <v>113.60192341652665</v>
      </c>
      <c r="F537">
        <v>5.024596829231962</v>
      </c>
      <c r="G537">
        <v>12.842877584061728</v>
      </c>
      <c r="H537">
        <v>0.86132459520907023</v>
      </c>
    </row>
    <row r="538" spans="1:8" x14ac:dyDescent="0.3">
      <c r="A538">
        <f t="shared" si="7"/>
        <v>478</v>
      </c>
      <c r="B538">
        <v>11864320.684112415</v>
      </c>
      <c r="C538">
        <v>119998.1687798483</v>
      </c>
      <c r="D538">
        <v>254.74017062695904</v>
      </c>
      <c r="E538">
        <v>128.65909411195645</v>
      </c>
      <c r="F538">
        <v>5.81649168620363</v>
      </c>
      <c r="G538">
        <v>7.3022756304866725</v>
      </c>
      <c r="H538">
        <v>1.0870381994482829</v>
      </c>
    </row>
    <row r="539" spans="1:8" x14ac:dyDescent="0.3">
      <c r="A539">
        <f t="shared" si="7"/>
        <v>479</v>
      </c>
      <c r="B539">
        <v>11982457.724575527</v>
      </c>
      <c r="C539">
        <v>120001.31972049965</v>
      </c>
      <c r="D539">
        <v>264.57118015320333</v>
      </c>
      <c r="E539">
        <v>116.46358530518822</v>
      </c>
      <c r="F539">
        <v>3.5475191873986311</v>
      </c>
      <c r="G539">
        <v>12.779400155462643</v>
      </c>
      <c r="H539">
        <v>1.0658638428648777</v>
      </c>
    </row>
    <row r="540" spans="1:8" x14ac:dyDescent="0.3">
      <c r="A540">
        <f t="shared" si="7"/>
        <v>480</v>
      </c>
      <c r="B540">
        <v>22638600.018426314</v>
      </c>
      <c r="C540">
        <v>119996.62451553564</v>
      </c>
      <c r="D540">
        <v>189.30162318571303</v>
      </c>
      <c r="E540">
        <v>103.17809470788362</v>
      </c>
      <c r="F540">
        <v>1.0299277647779794</v>
      </c>
      <c r="G540">
        <v>11.056032480302582</v>
      </c>
      <c r="H540">
        <v>0.91918666042220942</v>
      </c>
    </row>
    <row r="541" spans="1:8" x14ac:dyDescent="0.3">
      <c r="A541">
        <f t="shared" si="7"/>
        <v>481</v>
      </c>
      <c r="B541">
        <v>21139186.282744743</v>
      </c>
      <c r="C541">
        <v>120000.07083614939</v>
      </c>
      <c r="D541">
        <v>196.47415453215399</v>
      </c>
      <c r="E541">
        <v>100.25564835863671</v>
      </c>
      <c r="F541">
        <v>4.5991912104712949</v>
      </c>
      <c r="G541">
        <v>13.108247603322392</v>
      </c>
      <c r="H541">
        <v>1.0563345243706677</v>
      </c>
    </row>
    <row r="542" spans="1:8" x14ac:dyDescent="0.3">
      <c r="A542">
        <f t="shared" si="7"/>
        <v>482</v>
      </c>
      <c r="B542">
        <v>23203747.548441924</v>
      </c>
      <c r="C542">
        <v>120003.07297780983</v>
      </c>
      <c r="D542">
        <v>230.1394235843687</v>
      </c>
      <c r="E542">
        <v>63.155217400177257</v>
      </c>
      <c r="F542">
        <v>1.8365850268999084</v>
      </c>
      <c r="G542">
        <v>7.9128501799401008</v>
      </c>
      <c r="H542">
        <v>0.98784830401264767</v>
      </c>
    </row>
    <row r="543" spans="1:8" x14ac:dyDescent="0.3">
      <c r="A543">
        <f t="shared" si="7"/>
        <v>483</v>
      </c>
      <c r="B543">
        <v>21178245.494251072</v>
      </c>
      <c r="C543">
        <v>119999.36016233827</v>
      </c>
      <c r="D543">
        <v>233.14437700264008</v>
      </c>
      <c r="E543">
        <v>70.47092028985027</v>
      </c>
      <c r="F543">
        <v>4.8449628243857106</v>
      </c>
      <c r="G543">
        <v>7.4472076719258489</v>
      </c>
      <c r="H543">
        <v>1.016851829230929</v>
      </c>
    </row>
    <row r="544" spans="1:8" x14ac:dyDescent="0.3">
      <c r="A544">
        <f t="shared" si="7"/>
        <v>484</v>
      </c>
      <c r="B544">
        <v>21133545.896842331</v>
      </c>
      <c r="C544">
        <v>119997.23102862902</v>
      </c>
      <c r="D544">
        <v>204.19375086105916</v>
      </c>
      <c r="E544">
        <v>101.60902256265948</v>
      </c>
      <c r="F544">
        <v>5.5060806312755259</v>
      </c>
      <c r="G544">
        <v>9.080553452168969</v>
      </c>
      <c r="H544">
        <v>0.94340612337201302</v>
      </c>
    </row>
    <row r="545" spans="1:8" x14ac:dyDescent="0.3">
      <c r="A545">
        <f t="shared" si="7"/>
        <v>485</v>
      </c>
      <c r="B545">
        <v>25466745.600763004</v>
      </c>
      <c r="C545">
        <v>120001.13455400392</v>
      </c>
      <c r="D545">
        <v>157.07730318703358</v>
      </c>
      <c r="E545">
        <v>108.59374785069986</v>
      </c>
      <c r="F545">
        <v>2.9476270129768722</v>
      </c>
      <c r="G545">
        <v>10.499555834785344</v>
      </c>
      <c r="H545">
        <v>0.7817725606275111</v>
      </c>
    </row>
    <row r="546" spans="1:8" x14ac:dyDescent="0.3">
      <c r="A546">
        <f t="shared" si="7"/>
        <v>486</v>
      </c>
      <c r="B546">
        <v>20038342.473021425</v>
      </c>
      <c r="C546">
        <v>120000.71454426648</v>
      </c>
      <c r="D546">
        <v>190.19766811723616</v>
      </c>
      <c r="E546">
        <v>118.02725565715824</v>
      </c>
      <c r="F546">
        <v>7.5703164499622364</v>
      </c>
      <c r="G546">
        <v>12.235139490227011</v>
      </c>
      <c r="H546">
        <v>0.85785551570837482</v>
      </c>
    </row>
    <row r="547" spans="1:8" x14ac:dyDescent="0.3">
      <c r="A547">
        <f t="shared" si="7"/>
        <v>487</v>
      </c>
      <c r="B547">
        <v>20336283.989465721</v>
      </c>
      <c r="C547">
        <v>119993.11300558421</v>
      </c>
      <c r="D547">
        <v>209.00483242570968</v>
      </c>
      <c r="E547">
        <v>95.919016370329786</v>
      </c>
      <c r="F547">
        <v>6.5363623594989679</v>
      </c>
      <c r="G547">
        <v>12.204370087790975</v>
      </c>
      <c r="H547">
        <v>0.96846985810257991</v>
      </c>
    </row>
    <row r="548" spans="1:8" x14ac:dyDescent="0.3">
      <c r="A548">
        <f t="shared" si="7"/>
        <v>488</v>
      </c>
      <c r="B548">
        <v>13754977.977023862</v>
      </c>
      <c r="C548">
        <v>119993.1823396574</v>
      </c>
      <c r="D548">
        <v>224.17675936250743</v>
      </c>
      <c r="E548">
        <v>143.16101555154546</v>
      </c>
      <c r="F548">
        <v>2.0407575962278721</v>
      </c>
      <c r="G548">
        <v>13.179258096589944</v>
      </c>
      <c r="H548">
        <v>1.0912914045558633</v>
      </c>
    </row>
    <row r="549" spans="1:8" x14ac:dyDescent="0.3">
      <c r="A549">
        <f t="shared" si="7"/>
        <v>489</v>
      </c>
      <c r="B549">
        <v>14221247.940319359</v>
      </c>
      <c r="C549">
        <v>119997.35623976403</v>
      </c>
      <c r="D549">
        <v>253.67691011820943</v>
      </c>
      <c r="E549">
        <v>111.04105479389668</v>
      </c>
      <c r="F549">
        <v>4.4648848983827811</v>
      </c>
      <c r="G549">
        <v>9.0968364399930568</v>
      </c>
      <c r="H549">
        <v>1.1159509233760565</v>
      </c>
    </row>
    <row r="550" spans="1:8" x14ac:dyDescent="0.3">
      <c r="A550">
        <f t="shared" si="7"/>
        <v>490</v>
      </c>
      <c r="B550">
        <v>21499440.7848313</v>
      </c>
      <c r="C550">
        <v>119995.32883512364</v>
      </c>
      <c r="D550">
        <v>206.42246144068852</v>
      </c>
      <c r="E550">
        <v>93.563621491825216</v>
      </c>
      <c r="F550">
        <v>3.0530670055081961</v>
      </c>
      <c r="G550">
        <v>9.880796973312421</v>
      </c>
      <c r="H550">
        <v>0.93151036480465232</v>
      </c>
    </row>
    <row r="551" spans="1:8" x14ac:dyDescent="0.3">
      <c r="A551">
        <f t="shared" si="7"/>
        <v>491</v>
      </c>
      <c r="B551">
        <v>21832829.721264049</v>
      </c>
      <c r="C551">
        <v>119998.82420430864</v>
      </c>
      <c r="D551">
        <v>201.75448123999223</v>
      </c>
      <c r="E551">
        <v>104.13453805950098</v>
      </c>
      <c r="F551">
        <v>1.3133182025589369</v>
      </c>
      <c r="G551">
        <v>7.4282892529284545</v>
      </c>
      <c r="H551">
        <v>1.0103099418619088</v>
      </c>
    </row>
    <row r="552" spans="1:8" x14ac:dyDescent="0.3">
      <c r="A552">
        <f t="shared" si="7"/>
        <v>492</v>
      </c>
      <c r="B552">
        <v>20113972.39125514</v>
      </c>
      <c r="C552">
        <v>119995.89561173705</v>
      </c>
      <c r="D552">
        <v>192.41910553351175</v>
      </c>
      <c r="E552">
        <v>117.59765840852947</v>
      </c>
      <c r="F552">
        <v>5.3862538119249272</v>
      </c>
      <c r="G552">
        <v>10.640034415242853</v>
      </c>
      <c r="H552">
        <v>1.0328591046836912</v>
      </c>
    </row>
    <row r="553" spans="1:8" x14ac:dyDescent="0.3">
      <c r="A553">
        <f t="shared" si="7"/>
        <v>493</v>
      </c>
      <c r="B553">
        <v>23302524.34996438</v>
      </c>
      <c r="C553">
        <v>119998.6746830238</v>
      </c>
      <c r="D553">
        <v>199.37057976160582</v>
      </c>
      <c r="E553">
        <v>83.95548340757999</v>
      </c>
      <c r="F553">
        <v>4.5454489056092022</v>
      </c>
      <c r="G553">
        <v>10.551629742349082</v>
      </c>
      <c r="H553">
        <v>0.99074457790476722</v>
      </c>
    </row>
    <row r="554" spans="1:8" x14ac:dyDescent="0.3">
      <c r="A554">
        <f t="shared" si="7"/>
        <v>494</v>
      </c>
      <c r="B554">
        <v>21855963.895530023</v>
      </c>
      <c r="C554">
        <v>120000.98218136815</v>
      </c>
      <c r="D554">
        <v>202.47176131013825</v>
      </c>
      <c r="E554">
        <v>92.545552613852706</v>
      </c>
      <c r="F554">
        <v>5.0437480831124173</v>
      </c>
      <c r="G554">
        <v>10.357376980342751</v>
      </c>
      <c r="H554">
        <v>0.98117853141852607</v>
      </c>
    </row>
    <row r="555" spans="1:8" x14ac:dyDescent="0.3">
      <c r="A555">
        <f t="shared" si="7"/>
        <v>495</v>
      </c>
      <c r="B555">
        <v>27045945.449024335</v>
      </c>
      <c r="C555">
        <v>119993.43080136909</v>
      </c>
      <c r="D555">
        <v>146.85337842680909</v>
      </c>
      <c r="E555">
        <v>105.38794932571065</v>
      </c>
      <c r="F555">
        <v>4.4513954125110713</v>
      </c>
      <c r="G555">
        <v>9.069115042643082</v>
      </c>
      <c r="H555">
        <v>0.99708548085859505</v>
      </c>
    </row>
    <row r="556" spans="1:8" x14ac:dyDescent="0.3">
      <c r="A556">
        <f t="shared" si="7"/>
        <v>496</v>
      </c>
      <c r="B556">
        <v>15072014.72626289</v>
      </c>
      <c r="C556">
        <v>120006.53532176281</v>
      </c>
      <c r="D556">
        <v>242.92753969811196</v>
      </c>
      <c r="E556">
        <v>109.59278430559914</v>
      </c>
      <c r="F556">
        <v>5.2281275416649002</v>
      </c>
      <c r="G556">
        <v>9.65385963974032</v>
      </c>
      <c r="H556">
        <v>0.87728347446739163</v>
      </c>
    </row>
    <row r="557" spans="1:8" x14ac:dyDescent="0.3">
      <c r="A557">
        <f t="shared" si="7"/>
        <v>497</v>
      </c>
      <c r="B557">
        <v>21034230.465442143</v>
      </c>
      <c r="C557">
        <v>119994.76447093392</v>
      </c>
      <c r="D557">
        <v>197.05276166324097</v>
      </c>
      <c r="E557">
        <v>109.43715770877206</v>
      </c>
      <c r="F557">
        <v>4.5804346735152039</v>
      </c>
      <c r="G557">
        <v>6.7924584256531269</v>
      </c>
      <c r="H557">
        <v>1.0108615870060618</v>
      </c>
    </row>
    <row r="558" spans="1:8" x14ac:dyDescent="0.3">
      <c r="A558">
        <f t="shared" si="7"/>
        <v>498</v>
      </c>
      <c r="B558">
        <v>24314116.254777506</v>
      </c>
      <c r="C558">
        <v>120002.45801545166</v>
      </c>
      <c r="D558">
        <v>150.16210962001776</v>
      </c>
      <c r="E558">
        <v>124.89337849466244</v>
      </c>
      <c r="F558">
        <v>6.4805509055552015</v>
      </c>
      <c r="G558">
        <v>12.703001808035943</v>
      </c>
      <c r="H558">
        <v>0.94487197791070576</v>
      </c>
    </row>
    <row r="559" spans="1:8" x14ac:dyDescent="0.3">
      <c r="A559">
        <f t="shared" si="7"/>
        <v>499</v>
      </c>
      <c r="B559">
        <v>10601585.140793677</v>
      </c>
      <c r="C559">
        <v>59997.835390092783</v>
      </c>
      <c r="D559">
        <v>200.7585802844003</v>
      </c>
      <c r="E559">
        <v>98.48744970710041</v>
      </c>
      <c r="F559">
        <v>6.560869961081381</v>
      </c>
      <c r="G559">
        <v>7.089778943153819</v>
      </c>
      <c r="H559">
        <v>1.0068850358049772</v>
      </c>
    </row>
    <row r="560" spans="1:8" x14ac:dyDescent="0.3">
      <c r="A560">
        <f t="shared" si="7"/>
        <v>500</v>
      </c>
      <c r="B560">
        <v>17814307.776701868</v>
      </c>
      <c r="C560">
        <v>120000.20421707603</v>
      </c>
      <c r="D560">
        <v>215.6752013874453</v>
      </c>
      <c r="E560">
        <v>120.36748289129574</v>
      </c>
      <c r="F560">
        <v>5.1932853771202963</v>
      </c>
      <c r="G560">
        <v>7.6120812120751769</v>
      </c>
      <c r="H560">
        <v>0.9227757328263273</v>
      </c>
    </row>
    <row r="561" spans="1:8" x14ac:dyDescent="0.3">
      <c r="A561">
        <f t="shared" si="7"/>
        <v>501</v>
      </c>
      <c r="B561">
        <v>21545703.956625745</v>
      </c>
      <c r="C561">
        <v>119999.70119661633</v>
      </c>
      <c r="D561">
        <v>188.74884763811892</v>
      </c>
      <c r="E561">
        <v>111.42769112289403</v>
      </c>
      <c r="F561">
        <v>6.3349556202831252</v>
      </c>
      <c r="G561">
        <v>7.9920831347348713</v>
      </c>
      <c r="H561">
        <v>1.0144698404986507</v>
      </c>
    </row>
    <row r="562" spans="1:8" x14ac:dyDescent="0.3">
      <c r="A562">
        <f t="shared" si="7"/>
        <v>502</v>
      </c>
      <c r="B562">
        <v>18612909.841999218</v>
      </c>
      <c r="C562">
        <v>119995.05052547851</v>
      </c>
      <c r="D562">
        <v>265.89826439934109</v>
      </c>
      <c r="E562">
        <v>59.71731392900768</v>
      </c>
      <c r="F562">
        <v>0.22441858451470598</v>
      </c>
      <c r="G562">
        <v>12.029763788407671</v>
      </c>
      <c r="H562">
        <v>1.0829368301534439</v>
      </c>
    </row>
    <row r="563" spans="1:8" x14ac:dyDescent="0.3">
      <c r="A563">
        <f t="shared" si="7"/>
        <v>503</v>
      </c>
      <c r="B563">
        <v>18084535.143868916</v>
      </c>
      <c r="C563">
        <v>119999.66739622697</v>
      </c>
      <c r="D563">
        <v>244.02302198739798</v>
      </c>
      <c r="E563">
        <v>84.962624781168159</v>
      </c>
      <c r="F563">
        <v>7.7768586932036676</v>
      </c>
      <c r="G563">
        <v>8.9005276650121967</v>
      </c>
      <c r="H563">
        <v>0.99221614456548068</v>
      </c>
    </row>
    <row r="564" spans="1:8" x14ac:dyDescent="0.3">
      <c r="A564">
        <f t="shared" si="7"/>
        <v>504</v>
      </c>
      <c r="B564">
        <v>9979328.7102705836</v>
      </c>
      <c r="C564">
        <v>119997.66653674684</v>
      </c>
      <c r="D564">
        <v>289.44533205737378</v>
      </c>
      <c r="E564">
        <v>104.36324313180828</v>
      </c>
      <c r="F564">
        <v>7.4618494545404737</v>
      </c>
      <c r="G564">
        <v>13.475006462972091</v>
      </c>
      <c r="H564">
        <v>1.1265063761210192</v>
      </c>
    </row>
    <row r="565" spans="1:8" x14ac:dyDescent="0.3">
      <c r="A565">
        <f t="shared" si="7"/>
        <v>505</v>
      </c>
      <c r="B565">
        <v>12552566.016298972</v>
      </c>
      <c r="C565">
        <v>120002.81679238319</v>
      </c>
      <c r="D565">
        <v>237.29763656683903</v>
      </c>
      <c r="E565">
        <v>139.53864394977657</v>
      </c>
      <c r="F565">
        <v>3.4545509785533985</v>
      </c>
      <c r="G565">
        <v>11.225921979779168</v>
      </c>
      <c r="H565">
        <v>1.1039273837067916</v>
      </c>
    </row>
    <row r="566" spans="1:8" x14ac:dyDescent="0.3">
      <c r="A566">
        <f t="shared" si="7"/>
        <v>506</v>
      </c>
      <c r="B566">
        <v>20581208.320386328</v>
      </c>
      <c r="C566">
        <v>119997.08848225829</v>
      </c>
      <c r="D566">
        <v>211.95750368111899</v>
      </c>
      <c r="E566">
        <v>96.472625946606485</v>
      </c>
      <c r="F566">
        <v>2.6969710503520603</v>
      </c>
      <c r="G566">
        <v>10.360071161130243</v>
      </c>
      <c r="H566">
        <v>0.94423963909509112</v>
      </c>
    </row>
    <row r="567" spans="1:8" x14ac:dyDescent="0.3">
      <c r="A567">
        <f t="shared" si="7"/>
        <v>507</v>
      </c>
      <c r="B567">
        <v>17775296.574466266</v>
      </c>
      <c r="C567">
        <v>119998.97156235354</v>
      </c>
      <c r="D567">
        <v>219.26922587386721</v>
      </c>
      <c r="E567">
        <v>105.74041458835711</v>
      </c>
      <c r="F567">
        <v>8.9085430640857748</v>
      </c>
      <c r="G567">
        <v>11.283817555574242</v>
      </c>
      <c r="H567">
        <v>1.0543291474468233</v>
      </c>
    </row>
    <row r="568" spans="1:8" x14ac:dyDescent="0.3">
      <c r="A568">
        <f t="shared" si="7"/>
        <v>508</v>
      </c>
      <c r="B568">
        <v>16825205.601605318</v>
      </c>
      <c r="C568">
        <v>120000.86428892399</v>
      </c>
      <c r="D568">
        <v>217.92647520021109</v>
      </c>
      <c r="E568">
        <v>118.29212142182752</v>
      </c>
      <c r="F568">
        <v>3.658839392791128</v>
      </c>
      <c r="G568">
        <v>12.177348040609223</v>
      </c>
      <c r="H568">
        <v>0.89992789458385292</v>
      </c>
    </row>
    <row r="569" spans="1:8" x14ac:dyDescent="0.3">
      <c r="A569">
        <f t="shared" si="7"/>
        <v>509</v>
      </c>
      <c r="B569">
        <v>19045830.936084554</v>
      </c>
      <c r="C569">
        <v>120004.35846323264</v>
      </c>
      <c r="D569">
        <v>223.53845020739067</v>
      </c>
      <c r="E569">
        <v>98.450096335708849</v>
      </c>
      <c r="F569">
        <v>5.9815991329460276</v>
      </c>
      <c r="G569">
        <v>8.7994404981447083</v>
      </c>
      <c r="H569">
        <v>0.95261135362155247</v>
      </c>
    </row>
    <row r="570" spans="1:8" x14ac:dyDescent="0.3">
      <c r="A570">
        <f t="shared" si="7"/>
        <v>510</v>
      </c>
      <c r="B570">
        <v>24398702.982545827</v>
      </c>
      <c r="C570">
        <v>120003.08642481042</v>
      </c>
      <c r="D570">
        <v>159.33784937451873</v>
      </c>
      <c r="E570">
        <v>116.02391493346606</v>
      </c>
      <c r="F570">
        <v>6.7467943788832105</v>
      </c>
      <c r="G570">
        <v>5.7880978606692643</v>
      </c>
      <c r="H570">
        <v>1.01810979931872</v>
      </c>
    </row>
    <row r="571" spans="1:8" x14ac:dyDescent="0.3">
      <c r="A571">
        <f t="shared" si="7"/>
        <v>511</v>
      </c>
      <c r="B571">
        <v>20457262.080787726</v>
      </c>
      <c r="C571">
        <v>120004.41682992806</v>
      </c>
      <c r="D571">
        <v>186.32832111678064</v>
      </c>
      <c r="E571">
        <v>121.24050758570958</v>
      </c>
      <c r="F571">
        <v>4.2084309942969229</v>
      </c>
      <c r="G571">
        <v>9.552384975858585</v>
      </c>
      <c r="H571">
        <v>0.91296742833163369</v>
      </c>
    </row>
    <row r="572" spans="1:8" x14ac:dyDescent="0.3">
      <c r="A572">
        <f t="shared" si="7"/>
        <v>512</v>
      </c>
      <c r="B572">
        <v>22934569.403500512</v>
      </c>
      <c r="C572">
        <v>120002.34017761349</v>
      </c>
      <c r="D572">
        <v>223.37482449608214</v>
      </c>
      <c r="E572">
        <v>69.112586507484735</v>
      </c>
      <c r="F572">
        <v>5.4361429430185728</v>
      </c>
      <c r="G572">
        <v>7.5416949880068058</v>
      </c>
      <c r="H572">
        <v>0.98736808221235639</v>
      </c>
    </row>
    <row r="573" spans="1:8" x14ac:dyDescent="0.3">
      <c r="A573">
        <f t="shared" si="7"/>
        <v>513</v>
      </c>
      <c r="B573">
        <v>21167505.239055105</v>
      </c>
      <c r="C573">
        <v>119996.75535840364</v>
      </c>
      <c r="D573">
        <v>182.24325501245065</v>
      </c>
      <c r="E573">
        <v>112.51959828895286</v>
      </c>
      <c r="F573">
        <v>4.9520320281901293</v>
      </c>
      <c r="G573">
        <v>14.077811952259367</v>
      </c>
      <c r="H573">
        <v>1.0026502178298828</v>
      </c>
    </row>
    <row r="574" spans="1:8" x14ac:dyDescent="0.3">
      <c r="A574">
        <f t="shared" si="7"/>
        <v>514</v>
      </c>
      <c r="B574">
        <v>14430442.029665858</v>
      </c>
      <c r="C574">
        <v>120000.12571530711</v>
      </c>
      <c r="D574">
        <v>246.324044016481</v>
      </c>
      <c r="E574">
        <v>113.5498858162763</v>
      </c>
      <c r="F574">
        <v>3.376246586560915</v>
      </c>
      <c r="G574">
        <v>10.233762957546034</v>
      </c>
      <c r="H574">
        <v>0.90251463245194308</v>
      </c>
    </row>
    <row r="575" spans="1:8" x14ac:dyDescent="0.3">
      <c r="A575">
        <f t="shared" ref="A575:A638" si="8">A574+1</f>
        <v>515</v>
      </c>
      <c r="B575">
        <v>24464550.687801905</v>
      </c>
      <c r="C575">
        <v>119993.35847424786</v>
      </c>
      <c r="D575">
        <v>170.97889525291868</v>
      </c>
      <c r="E575">
        <v>100.89494854283664</v>
      </c>
      <c r="F575">
        <v>4.8999030093890177</v>
      </c>
      <c r="G575">
        <v>13.415484313939217</v>
      </c>
      <c r="H575">
        <v>0.9197826539077415</v>
      </c>
    </row>
    <row r="576" spans="1:8" x14ac:dyDescent="0.3">
      <c r="A576">
        <f t="shared" si="8"/>
        <v>516</v>
      </c>
      <c r="B576">
        <v>11292983.249806881</v>
      </c>
      <c r="C576">
        <v>120001.67429575276</v>
      </c>
      <c r="D576">
        <v>277.68309215757682</v>
      </c>
      <c r="E576">
        <v>107.88913459031734</v>
      </c>
      <c r="F576">
        <v>5.3832353353129365</v>
      </c>
      <c r="G576">
        <v>10.157285478329115</v>
      </c>
      <c r="H576">
        <v>0.9904834418795414</v>
      </c>
    </row>
    <row r="577" spans="1:8" x14ac:dyDescent="0.3">
      <c r="A577">
        <f t="shared" si="8"/>
        <v>517</v>
      </c>
      <c r="B577">
        <v>18416718.493896909</v>
      </c>
      <c r="C577">
        <v>119999.62123737759</v>
      </c>
      <c r="D577">
        <v>221.72477598129316</v>
      </c>
      <c r="E577">
        <v>103.73103874848536</v>
      </c>
      <c r="F577">
        <v>5.3629657689278556</v>
      </c>
      <c r="G577">
        <v>11.699563213079646</v>
      </c>
      <c r="H577">
        <v>1.0409629810180669</v>
      </c>
    </row>
    <row r="578" spans="1:8" x14ac:dyDescent="0.3">
      <c r="A578">
        <f t="shared" si="8"/>
        <v>518</v>
      </c>
      <c r="B578">
        <v>17455947.268521078</v>
      </c>
      <c r="C578">
        <v>119995.95269689674</v>
      </c>
      <c r="D578">
        <v>246.83694006563766</v>
      </c>
      <c r="E578">
        <v>91.248559820881326</v>
      </c>
      <c r="F578">
        <v>1.0696928489442423</v>
      </c>
      <c r="G578">
        <v>11.135537940719306</v>
      </c>
      <c r="H578">
        <v>1.1894316811548089</v>
      </c>
    </row>
    <row r="579" spans="1:8" x14ac:dyDescent="0.3">
      <c r="A579">
        <f t="shared" si="8"/>
        <v>519</v>
      </c>
      <c r="B579">
        <v>31411876.644839387</v>
      </c>
      <c r="C579">
        <v>120001.70414493479</v>
      </c>
      <c r="D579">
        <v>164.56987793606172</v>
      </c>
      <c r="E579">
        <v>57.646957887056935</v>
      </c>
      <c r="F579">
        <v>4.8659753580538352</v>
      </c>
      <c r="G579">
        <v>1.2911676155701137</v>
      </c>
      <c r="H579">
        <v>0.84079609250022602</v>
      </c>
    </row>
    <row r="580" spans="1:8" x14ac:dyDescent="0.3">
      <c r="A580">
        <f t="shared" si="8"/>
        <v>520</v>
      </c>
      <c r="B580">
        <v>7924571.7060808204</v>
      </c>
      <c r="C580">
        <v>60001.636712405008</v>
      </c>
      <c r="D580">
        <v>244.96619383579068</v>
      </c>
      <c r="E580">
        <v>102.39411465981966</v>
      </c>
      <c r="F580">
        <v>0.23762468491969813</v>
      </c>
      <c r="G580">
        <v>11.762191863990836</v>
      </c>
      <c r="H580">
        <v>1.1736706891164699</v>
      </c>
    </row>
    <row r="581" spans="1:8" x14ac:dyDescent="0.3">
      <c r="A581">
        <f t="shared" si="8"/>
        <v>521</v>
      </c>
      <c r="B581">
        <v>21647948.906941548</v>
      </c>
      <c r="C581">
        <v>120000.76945512864</v>
      </c>
      <c r="D581">
        <v>201.6393472637497</v>
      </c>
      <c r="E581">
        <v>93.318802334248289</v>
      </c>
      <c r="F581">
        <v>4.644086551793162</v>
      </c>
      <c r="G581">
        <v>9.5712885080967656</v>
      </c>
      <c r="H581">
        <v>0.93698330981100142</v>
      </c>
    </row>
    <row r="582" spans="1:8" x14ac:dyDescent="0.3">
      <c r="A582">
        <f t="shared" si="8"/>
        <v>522</v>
      </c>
      <c r="B582">
        <v>19087298.222491153</v>
      </c>
      <c r="C582">
        <v>120006.98770325785</v>
      </c>
      <c r="D582">
        <v>220.82572319027031</v>
      </c>
      <c r="E582">
        <v>104.26790766267879</v>
      </c>
      <c r="F582">
        <v>5.6417443844562172</v>
      </c>
      <c r="G582">
        <v>6.64721141048852</v>
      </c>
      <c r="H582">
        <v>1.0155865444442276</v>
      </c>
    </row>
    <row r="583" spans="1:8" x14ac:dyDescent="0.3">
      <c r="A583">
        <f t="shared" si="8"/>
        <v>523</v>
      </c>
      <c r="B583">
        <v>8617567.0914523676</v>
      </c>
      <c r="C583">
        <v>59999.966140611083</v>
      </c>
      <c r="D583">
        <v>212.47812834392607</v>
      </c>
      <c r="E583">
        <v>121.6242298223234</v>
      </c>
      <c r="F583">
        <v>3.9026300342904006</v>
      </c>
      <c r="G583">
        <v>9.3548690610645817</v>
      </c>
      <c r="H583">
        <v>1.0683288790119509</v>
      </c>
    </row>
    <row r="584" spans="1:8" x14ac:dyDescent="0.3">
      <c r="A584">
        <f t="shared" si="8"/>
        <v>524</v>
      </c>
      <c r="B584">
        <v>10940587.63186831</v>
      </c>
      <c r="C584">
        <v>60000.706909934699</v>
      </c>
      <c r="D584">
        <v>142.27134722761451</v>
      </c>
      <c r="E584">
        <v>153.4592188180076</v>
      </c>
      <c r="F584">
        <v>5.7770289072709868</v>
      </c>
      <c r="G584">
        <v>8.8079532727832053</v>
      </c>
      <c r="H584">
        <v>0.93910437789775503</v>
      </c>
    </row>
    <row r="585" spans="1:8" x14ac:dyDescent="0.3">
      <c r="A585">
        <f t="shared" si="8"/>
        <v>525</v>
      </c>
      <c r="B585">
        <v>22806052.107851245</v>
      </c>
      <c r="C585">
        <v>119995.42126206095</v>
      </c>
      <c r="D585">
        <v>169.57662721376494</v>
      </c>
      <c r="E585">
        <v>114.7941745480619</v>
      </c>
      <c r="F585">
        <v>6.8959378280477157</v>
      </c>
      <c r="G585">
        <v>12.226693874106603</v>
      </c>
      <c r="H585">
        <v>1.1136312543295139</v>
      </c>
    </row>
    <row r="586" spans="1:8" x14ac:dyDescent="0.3">
      <c r="A586">
        <f t="shared" si="8"/>
        <v>526</v>
      </c>
      <c r="B586">
        <v>18317618.48289533</v>
      </c>
      <c r="C586">
        <v>119999.2530711204</v>
      </c>
      <c r="D586">
        <v>196.09365640426418</v>
      </c>
      <c r="E586">
        <v>127.33303844323697</v>
      </c>
      <c r="F586">
        <v>5.0849538283156575</v>
      </c>
      <c r="G586">
        <v>11.704428031724225</v>
      </c>
      <c r="H586">
        <v>1.0559892909559687</v>
      </c>
    </row>
    <row r="587" spans="1:8" x14ac:dyDescent="0.3">
      <c r="A587">
        <f t="shared" si="8"/>
        <v>527</v>
      </c>
      <c r="B587">
        <v>27633346.726055037</v>
      </c>
      <c r="C587">
        <v>119994.66414438015</v>
      </c>
      <c r="D587">
        <v>163.82781375999272</v>
      </c>
      <c r="E587">
        <v>80.478879281161227</v>
      </c>
      <c r="F587">
        <v>9.4444059078012756</v>
      </c>
      <c r="G587">
        <v>10.409468653471558</v>
      </c>
      <c r="H587">
        <v>0.97445922233099136</v>
      </c>
    </row>
    <row r="588" spans="1:8" x14ac:dyDescent="0.3">
      <c r="A588">
        <f t="shared" si="8"/>
        <v>528</v>
      </c>
      <c r="B588">
        <v>26197525.9686312</v>
      </c>
      <c r="C588">
        <v>120003.47578219455</v>
      </c>
      <c r="D588">
        <v>188.63947003647053</v>
      </c>
      <c r="E588">
        <v>74.148731607182043</v>
      </c>
      <c r="F588">
        <v>5.818724524380265</v>
      </c>
      <c r="G588">
        <v>8.1411671531185323</v>
      </c>
      <c r="H588">
        <v>0.82881166878181645</v>
      </c>
    </row>
    <row r="589" spans="1:8" x14ac:dyDescent="0.3">
      <c r="A589">
        <f t="shared" si="8"/>
        <v>529</v>
      </c>
      <c r="B589">
        <v>7793842.0937713571</v>
      </c>
      <c r="C589">
        <v>60003.129988802808</v>
      </c>
      <c r="D589">
        <v>215.19802780601847</v>
      </c>
      <c r="E589">
        <v>133.00554293968261</v>
      </c>
      <c r="F589">
        <v>8.8611201173424554</v>
      </c>
      <c r="G589">
        <v>9.072699504917372</v>
      </c>
      <c r="H589">
        <v>1.0737204689494309</v>
      </c>
    </row>
    <row r="590" spans="1:8" x14ac:dyDescent="0.3">
      <c r="A590">
        <f t="shared" si="8"/>
        <v>530</v>
      </c>
      <c r="B590">
        <v>30719516.523029771</v>
      </c>
      <c r="C590">
        <v>119998.60768628753</v>
      </c>
      <c r="D590">
        <v>144.45602737843086</v>
      </c>
      <c r="E590">
        <v>68.855041538904004</v>
      </c>
      <c r="F590">
        <v>8.544343399773064</v>
      </c>
      <c r="G590">
        <v>8.3211950844077194</v>
      </c>
      <c r="H590">
        <v>0.90645797935316641</v>
      </c>
    </row>
    <row r="591" spans="1:8" x14ac:dyDescent="0.3">
      <c r="A591">
        <f t="shared" si="8"/>
        <v>531</v>
      </c>
      <c r="B591">
        <v>21374540.132263072</v>
      </c>
      <c r="C591">
        <v>119997.64561202792</v>
      </c>
      <c r="D591">
        <v>177.02054025698226</v>
      </c>
      <c r="E591">
        <v>120.91924436805274</v>
      </c>
      <c r="F591">
        <v>6.0971635365938006</v>
      </c>
      <c r="G591">
        <v>14.351041209857968</v>
      </c>
      <c r="H591">
        <v>0.817101387605213</v>
      </c>
    </row>
    <row r="592" spans="1:8" x14ac:dyDescent="0.3">
      <c r="A592">
        <f t="shared" si="8"/>
        <v>532</v>
      </c>
      <c r="B592">
        <v>20144191.139815241</v>
      </c>
      <c r="C592">
        <v>120000.79169211595</v>
      </c>
      <c r="D592">
        <v>228.64588218646318</v>
      </c>
      <c r="E592">
        <v>85.154686284590014</v>
      </c>
      <c r="F592">
        <v>7.113843713348353</v>
      </c>
      <c r="G592">
        <v>7.4489997735135169</v>
      </c>
      <c r="H592">
        <v>1.0108408118063439</v>
      </c>
    </row>
    <row r="593" spans="1:8" x14ac:dyDescent="0.3">
      <c r="A593">
        <f t="shared" si="8"/>
        <v>533</v>
      </c>
      <c r="B593">
        <v>13094343.396071099</v>
      </c>
      <c r="C593">
        <v>120003.10718131851</v>
      </c>
      <c r="D593">
        <v>241.53938195279832</v>
      </c>
      <c r="E593">
        <v>124.13208320977873</v>
      </c>
      <c r="F593">
        <v>9.571305866544856</v>
      </c>
      <c r="G593">
        <v>9.1076761920123648</v>
      </c>
      <c r="H593">
        <v>0.98927612341269611</v>
      </c>
    </row>
    <row r="594" spans="1:8" x14ac:dyDescent="0.3">
      <c r="A594">
        <f t="shared" si="8"/>
        <v>534</v>
      </c>
      <c r="B594">
        <v>15762762.654670738</v>
      </c>
      <c r="C594">
        <v>119998.11017275503</v>
      </c>
      <c r="D594">
        <v>202.58306917505362</v>
      </c>
      <c r="E594">
        <v>141.94922418384357</v>
      </c>
      <c r="F594">
        <v>4.7602244088911991</v>
      </c>
      <c r="G594">
        <v>13.834590904596876</v>
      </c>
      <c r="H594">
        <v>0.96901710464465873</v>
      </c>
    </row>
    <row r="595" spans="1:8" x14ac:dyDescent="0.3">
      <c r="A595">
        <f t="shared" si="8"/>
        <v>535</v>
      </c>
      <c r="B595">
        <v>19534079.62959338</v>
      </c>
      <c r="C595">
        <v>119997.31221872201</v>
      </c>
      <c r="D595">
        <v>208.08485173775242</v>
      </c>
      <c r="E595">
        <v>99.678777754037</v>
      </c>
      <c r="F595">
        <v>5.8914003290374781</v>
      </c>
      <c r="G595">
        <v>16.657678254255359</v>
      </c>
      <c r="H595">
        <v>1.0288693389551811</v>
      </c>
    </row>
    <row r="596" spans="1:8" x14ac:dyDescent="0.3">
      <c r="A596">
        <f t="shared" si="8"/>
        <v>536</v>
      </c>
      <c r="B596">
        <v>31812388.433176313</v>
      </c>
      <c r="C596">
        <v>119996.20564612794</v>
      </c>
      <c r="D596">
        <v>137.50135024285603</v>
      </c>
      <c r="E596">
        <v>75.817826614490912</v>
      </c>
      <c r="F596">
        <v>6.1412089955858233</v>
      </c>
      <c r="G596">
        <v>7.3956994684045521</v>
      </c>
      <c r="H596">
        <v>0.94396166486429212</v>
      </c>
    </row>
    <row r="597" spans="1:8" x14ac:dyDescent="0.3">
      <c r="A597">
        <f t="shared" si="8"/>
        <v>537</v>
      </c>
      <c r="B597">
        <v>22559602.924466789</v>
      </c>
      <c r="C597">
        <v>120003.01913671001</v>
      </c>
      <c r="D597">
        <v>222.04624066462466</v>
      </c>
      <c r="E597">
        <v>76.142525627140003</v>
      </c>
      <c r="F597">
        <v>3.5571724720220637</v>
      </c>
      <c r="G597">
        <v>6.2660909613119138</v>
      </c>
      <c r="H597">
        <v>0.96915998855101115</v>
      </c>
    </row>
    <row r="598" spans="1:8" x14ac:dyDescent="0.3">
      <c r="A598">
        <f t="shared" si="8"/>
        <v>538</v>
      </c>
      <c r="B598">
        <v>27355322.671134967</v>
      </c>
      <c r="C598">
        <v>119994.73589380449</v>
      </c>
      <c r="D598">
        <v>173.51564098581233</v>
      </c>
      <c r="E598">
        <v>77.878424264492949</v>
      </c>
      <c r="F598">
        <v>3.5980000457621801</v>
      </c>
      <c r="G598">
        <v>9.0333205821339693</v>
      </c>
      <c r="H598">
        <v>0.97156936717170372</v>
      </c>
    </row>
    <row r="599" spans="1:8" x14ac:dyDescent="0.3">
      <c r="A599">
        <f t="shared" si="8"/>
        <v>539</v>
      </c>
      <c r="B599">
        <v>25998594.543696407</v>
      </c>
      <c r="C599">
        <v>120006.5263000251</v>
      </c>
      <c r="D599">
        <v>175.16070115034185</v>
      </c>
      <c r="E599">
        <v>91.209564844350965</v>
      </c>
      <c r="F599">
        <v>4.5658436535091385</v>
      </c>
      <c r="G599">
        <v>8.5337655504520065</v>
      </c>
      <c r="H599">
        <v>1.126052922562212</v>
      </c>
    </row>
    <row r="600" spans="1:8" x14ac:dyDescent="0.3">
      <c r="A600">
        <f t="shared" si="8"/>
        <v>540</v>
      </c>
      <c r="B600">
        <v>14713715.488857046</v>
      </c>
      <c r="C600">
        <v>120002.37520061665</v>
      </c>
      <c r="D600">
        <v>248.29416422941682</v>
      </c>
      <c r="E600">
        <v>110.46550034242932</v>
      </c>
      <c r="F600">
        <v>5.4898606048197305</v>
      </c>
      <c r="G600">
        <v>7.3186356969977364</v>
      </c>
      <c r="H600">
        <v>1.0344560080510961</v>
      </c>
    </row>
    <row r="601" spans="1:8" x14ac:dyDescent="0.3">
      <c r="A601">
        <f t="shared" si="8"/>
        <v>541</v>
      </c>
      <c r="B601">
        <v>23435857.779528975</v>
      </c>
      <c r="C601">
        <v>119998.76583116727</v>
      </c>
      <c r="D601">
        <v>186.15745166870826</v>
      </c>
      <c r="E601">
        <v>94.012262769404302</v>
      </c>
      <c r="F601">
        <v>4.8196649571418764</v>
      </c>
      <c r="G601">
        <v>8.7260595235103136</v>
      </c>
      <c r="H601">
        <v>0.89343173046137936</v>
      </c>
    </row>
    <row r="602" spans="1:8" x14ac:dyDescent="0.3">
      <c r="A602">
        <f t="shared" si="8"/>
        <v>542</v>
      </c>
      <c r="B602">
        <v>24371223.488676809</v>
      </c>
      <c r="C602">
        <v>120001.1139529583</v>
      </c>
      <c r="D602">
        <v>192.46809009340168</v>
      </c>
      <c r="E602">
        <v>82.339449376142881</v>
      </c>
      <c r="F602">
        <v>6.8091303699117081</v>
      </c>
      <c r="G602">
        <v>11.264657399338724</v>
      </c>
      <c r="H602">
        <v>0.88542478008065117</v>
      </c>
    </row>
    <row r="603" spans="1:8" x14ac:dyDescent="0.3">
      <c r="A603">
        <f t="shared" si="8"/>
        <v>543</v>
      </c>
      <c r="B603">
        <v>26593708.902065624</v>
      </c>
      <c r="C603">
        <v>119992.95508471662</v>
      </c>
      <c r="D603">
        <v>179.04148763308163</v>
      </c>
      <c r="E603">
        <v>70.783648505456327</v>
      </c>
      <c r="F603">
        <v>5.3105139777306087</v>
      </c>
      <c r="G603">
        <v>11.912509075404619</v>
      </c>
      <c r="H603">
        <v>0.91928065943200976</v>
      </c>
    </row>
    <row r="604" spans="1:8" x14ac:dyDescent="0.3">
      <c r="A604">
        <f t="shared" si="8"/>
        <v>544</v>
      </c>
      <c r="B604">
        <v>10868794.1041485</v>
      </c>
      <c r="C604">
        <v>119998.38601737093</v>
      </c>
      <c r="D604">
        <v>276.70625351974394</v>
      </c>
      <c r="E604">
        <v>112.32008649910192</v>
      </c>
      <c r="F604">
        <v>3.8087749741259525</v>
      </c>
      <c r="G604">
        <v>13.563845508314733</v>
      </c>
      <c r="H604">
        <v>1.0402316049028209</v>
      </c>
    </row>
    <row r="605" spans="1:8" x14ac:dyDescent="0.3">
      <c r="A605">
        <f t="shared" si="8"/>
        <v>545</v>
      </c>
      <c r="B605">
        <v>12463382.028562903</v>
      </c>
      <c r="C605">
        <v>120002.50684052025</v>
      </c>
      <c r="D605">
        <v>269.80353846861078</v>
      </c>
      <c r="E605">
        <v>100.82931167394752</v>
      </c>
      <c r="F605">
        <v>4.4446684145036102</v>
      </c>
      <c r="G605">
        <v>15.648433897070346</v>
      </c>
      <c r="H605">
        <v>1.1083545737616634</v>
      </c>
    </row>
    <row r="606" spans="1:8" x14ac:dyDescent="0.3">
      <c r="A606">
        <f t="shared" si="8"/>
        <v>546</v>
      </c>
      <c r="B606">
        <v>16876304.71255818</v>
      </c>
      <c r="C606">
        <v>119998.91758741128</v>
      </c>
      <c r="D606">
        <v>229.65969926379981</v>
      </c>
      <c r="E606">
        <v>118.26814278096563</v>
      </c>
      <c r="F606">
        <v>2.3768827151156362</v>
      </c>
      <c r="G606">
        <v>5.5925735788806588</v>
      </c>
      <c r="H606">
        <v>0.9382661728060202</v>
      </c>
    </row>
    <row r="607" spans="1:8" x14ac:dyDescent="0.3">
      <c r="A607">
        <f t="shared" si="8"/>
        <v>547</v>
      </c>
      <c r="B607">
        <v>10015834.754410163</v>
      </c>
      <c r="C607">
        <v>120001.40124995355</v>
      </c>
      <c r="D607">
        <v>319.628573590646</v>
      </c>
      <c r="E607">
        <v>76.907340216893203</v>
      </c>
      <c r="F607">
        <v>4.470388288846129</v>
      </c>
      <c r="G607">
        <v>10.475049636267546</v>
      </c>
      <c r="H607">
        <v>1.2745752118757823</v>
      </c>
    </row>
    <row r="608" spans="1:8" x14ac:dyDescent="0.3">
      <c r="A608">
        <f t="shared" si="8"/>
        <v>548</v>
      </c>
      <c r="B608">
        <v>18498977.270230986</v>
      </c>
      <c r="C608">
        <v>120000.43325298767</v>
      </c>
      <c r="D608">
        <v>220.34382573674031</v>
      </c>
      <c r="E608">
        <v>102.89076858363424</v>
      </c>
      <c r="F608">
        <v>6.2982248044461269</v>
      </c>
      <c r="G608">
        <v>12.415851783740891</v>
      </c>
      <c r="H608">
        <v>1.050755318902697</v>
      </c>
    </row>
    <row r="609" spans="1:8" x14ac:dyDescent="0.3">
      <c r="A609">
        <f t="shared" si="8"/>
        <v>549</v>
      </c>
      <c r="B609">
        <v>15286301.086957492</v>
      </c>
      <c r="C609">
        <v>119999.26148597333</v>
      </c>
      <c r="D609">
        <v>251.95572410919328</v>
      </c>
      <c r="E609">
        <v>100.77213626695222</v>
      </c>
      <c r="F609">
        <v>2.7032764664974893</v>
      </c>
      <c r="G609">
        <v>10.635901265753439</v>
      </c>
      <c r="H609">
        <v>1.0481467812532776</v>
      </c>
    </row>
    <row r="610" spans="1:8" x14ac:dyDescent="0.3">
      <c r="A610">
        <f t="shared" si="8"/>
        <v>550</v>
      </c>
      <c r="B610">
        <v>13964602.859697379</v>
      </c>
      <c r="C610">
        <v>119996.83126936882</v>
      </c>
      <c r="D610">
        <v>259.07064009543046</v>
      </c>
      <c r="E610">
        <v>111.20007666463221</v>
      </c>
      <c r="F610">
        <v>0.52969349674953037</v>
      </c>
      <c r="G610">
        <v>10.535118507850122</v>
      </c>
      <c r="H610">
        <v>1.0187310923210304</v>
      </c>
    </row>
    <row r="611" spans="1:8" x14ac:dyDescent="0.3">
      <c r="A611">
        <f t="shared" si="8"/>
        <v>551</v>
      </c>
      <c r="B611">
        <v>16708157.054606788</v>
      </c>
      <c r="C611">
        <v>120008.22193466646</v>
      </c>
      <c r="D611">
        <v>234.19783695138864</v>
      </c>
      <c r="E611">
        <v>102.84531833248411</v>
      </c>
      <c r="F611">
        <v>5.4477265349320474</v>
      </c>
      <c r="G611">
        <v>10.624262893822571</v>
      </c>
      <c r="H611">
        <v>1.0452305905275181</v>
      </c>
    </row>
    <row r="612" spans="1:8" x14ac:dyDescent="0.3">
      <c r="A612">
        <f t="shared" si="8"/>
        <v>552</v>
      </c>
      <c r="B612">
        <v>2706295.6209250391</v>
      </c>
      <c r="C612">
        <v>60003.134015780262</v>
      </c>
      <c r="D612">
        <v>347.14554355201659</v>
      </c>
      <c r="E612">
        <v>87.041340755578403</v>
      </c>
      <c r="F612">
        <v>5.7296709142974187</v>
      </c>
      <c r="G612">
        <v>12.469050900864161</v>
      </c>
      <c r="H612">
        <v>1.2526640186444353</v>
      </c>
    </row>
    <row r="613" spans="1:8" x14ac:dyDescent="0.3">
      <c r="A613">
        <f t="shared" si="8"/>
        <v>553</v>
      </c>
      <c r="B613">
        <v>24043941.880378023</v>
      </c>
      <c r="C613">
        <v>119997.41186134117</v>
      </c>
      <c r="D613">
        <v>183.64232512551311</v>
      </c>
      <c r="E613">
        <v>87.796003404165859</v>
      </c>
      <c r="F613">
        <v>4.8845761247121358</v>
      </c>
      <c r="G613">
        <v>14.132613346774679</v>
      </c>
      <c r="H613">
        <v>1.1652415358507666</v>
      </c>
    </row>
    <row r="614" spans="1:8" x14ac:dyDescent="0.3">
      <c r="A614">
        <f t="shared" si="8"/>
        <v>554</v>
      </c>
      <c r="B614">
        <v>22597455.300074778</v>
      </c>
      <c r="C614">
        <v>120003.96060096327</v>
      </c>
      <c r="D614">
        <v>215.59418564374323</v>
      </c>
      <c r="E614">
        <v>71.172015156357148</v>
      </c>
      <c r="F614">
        <v>6.5548590144418544</v>
      </c>
      <c r="G614">
        <v>13.418464398667583</v>
      </c>
      <c r="H614">
        <v>0.94734204869266014</v>
      </c>
    </row>
    <row r="615" spans="1:8" x14ac:dyDescent="0.3">
      <c r="A615">
        <f t="shared" si="8"/>
        <v>555</v>
      </c>
      <c r="B615">
        <v>8396917.6682998985</v>
      </c>
      <c r="C615">
        <v>59999.585849144489</v>
      </c>
      <c r="D615">
        <v>254.77001092901796</v>
      </c>
      <c r="E615">
        <v>81.42908170052263</v>
      </c>
      <c r="F615">
        <v>7.3682876993992448</v>
      </c>
      <c r="G615">
        <v>10.411598631326221</v>
      </c>
      <c r="H615">
        <v>1.0118438481639878</v>
      </c>
    </row>
    <row r="616" spans="1:8" x14ac:dyDescent="0.3">
      <c r="A616">
        <f t="shared" si="8"/>
        <v>556</v>
      </c>
      <c r="B616">
        <v>19641826.193436205</v>
      </c>
      <c r="C616">
        <v>119995.77802507166</v>
      </c>
      <c r="D616">
        <v>244.13159984954052</v>
      </c>
      <c r="E616">
        <v>72.59929082281235</v>
      </c>
      <c r="F616">
        <v>2.9033511355620232</v>
      </c>
      <c r="G616">
        <v>10.970677466241575</v>
      </c>
      <c r="H616">
        <v>0.98158613129723959</v>
      </c>
    </row>
    <row r="617" spans="1:8" x14ac:dyDescent="0.3">
      <c r="A617">
        <f t="shared" si="8"/>
        <v>557</v>
      </c>
      <c r="B617">
        <v>19780337.416012555</v>
      </c>
      <c r="C617">
        <v>119991.84137643113</v>
      </c>
      <c r="D617">
        <v>211.01847349372386</v>
      </c>
      <c r="E617">
        <v>103.08119362902367</v>
      </c>
      <c r="F617">
        <v>5.242963037170683</v>
      </c>
      <c r="G617">
        <v>8.2145317746847653</v>
      </c>
      <c r="H617">
        <v>1.0651958226975273</v>
      </c>
    </row>
    <row r="618" spans="1:8" x14ac:dyDescent="0.3">
      <c r="A618">
        <f t="shared" si="8"/>
        <v>558</v>
      </c>
      <c r="B618">
        <v>22335598.760323159</v>
      </c>
      <c r="C618">
        <v>119998.57011393331</v>
      </c>
      <c r="D618">
        <v>208.21568636883296</v>
      </c>
      <c r="E618">
        <v>83.679598269135951</v>
      </c>
      <c r="F618">
        <v>3.513049101957046</v>
      </c>
      <c r="G618">
        <v>9.6975547428158535</v>
      </c>
      <c r="H618">
        <v>1.014364131153306</v>
      </c>
    </row>
    <row r="619" spans="1:8" x14ac:dyDescent="0.3">
      <c r="A619">
        <f t="shared" si="8"/>
        <v>559</v>
      </c>
      <c r="B619">
        <v>24955829.70964139</v>
      </c>
      <c r="C619">
        <v>120001.30148796816</v>
      </c>
      <c r="D619">
        <v>205.92970224104423</v>
      </c>
      <c r="E619">
        <v>69.574260967599713</v>
      </c>
      <c r="F619">
        <v>3.7991437839907869</v>
      </c>
      <c r="G619">
        <v>9.7387071296544967</v>
      </c>
      <c r="H619">
        <v>1.0404187583989712</v>
      </c>
    </row>
    <row r="620" spans="1:8" x14ac:dyDescent="0.3">
      <c r="A620">
        <f t="shared" si="8"/>
        <v>560</v>
      </c>
      <c r="B620">
        <v>17165258.878254242</v>
      </c>
      <c r="C620">
        <v>119999.51603674781</v>
      </c>
      <c r="D620">
        <v>239.22840182738793</v>
      </c>
      <c r="E620">
        <v>98.189374158006672</v>
      </c>
      <c r="F620">
        <v>6.8844522579059042</v>
      </c>
      <c r="G620">
        <v>6.2871754622024287</v>
      </c>
      <c r="H620">
        <v>1.0865602781370085</v>
      </c>
    </row>
    <row r="621" spans="1:8" x14ac:dyDescent="0.3">
      <c r="A621">
        <f t="shared" si="8"/>
        <v>561</v>
      </c>
      <c r="B621">
        <v>19530182.082944758</v>
      </c>
      <c r="C621">
        <v>119996.34884309725</v>
      </c>
      <c r="D621">
        <v>202.34657746475509</v>
      </c>
      <c r="E621">
        <v>115.56345918409383</v>
      </c>
      <c r="F621">
        <v>6.0979409680730123</v>
      </c>
      <c r="G621">
        <v>7.9585018034090034</v>
      </c>
      <c r="H621">
        <v>0.89473891498655767</v>
      </c>
    </row>
    <row r="622" spans="1:8" x14ac:dyDescent="0.3">
      <c r="A622">
        <f t="shared" si="8"/>
        <v>562</v>
      </c>
      <c r="B622">
        <v>19724837.375236608</v>
      </c>
      <c r="C622">
        <v>120003.39441017483</v>
      </c>
      <c r="D622">
        <v>211.21403691313625</v>
      </c>
      <c r="E622">
        <v>102.99197377652511</v>
      </c>
      <c r="F622">
        <v>5.9155218607877247</v>
      </c>
      <c r="G622">
        <v>6.5759163074353495</v>
      </c>
      <c r="H622">
        <v>0.88788210335007067</v>
      </c>
    </row>
    <row r="623" spans="1:8" x14ac:dyDescent="0.3">
      <c r="A623">
        <f t="shared" si="8"/>
        <v>563</v>
      </c>
      <c r="B623">
        <v>23519366.96128995</v>
      </c>
      <c r="C623">
        <v>119994.6421156001</v>
      </c>
      <c r="D623">
        <v>178.69246755801512</v>
      </c>
      <c r="E623">
        <v>105.86175457020019</v>
      </c>
      <c r="F623">
        <v>4.9980353168579956</v>
      </c>
      <c r="G623">
        <v>8.4808410726315007</v>
      </c>
      <c r="H623">
        <v>0.95887947313413269</v>
      </c>
    </row>
    <row r="624" spans="1:8" x14ac:dyDescent="0.3">
      <c r="A624">
        <f t="shared" si="8"/>
        <v>564</v>
      </c>
      <c r="B624">
        <v>21215267.432965197</v>
      </c>
      <c r="C624">
        <v>120006.11577298313</v>
      </c>
      <c r="D624">
        <v>179.56252736497484</v>
      </c>
      <c r="E624">
        <v>123.06152020902894</v>
      </c>
      <c r="F624">
        <v>3.6308387233110544</v>
      </c>
      <c r="G624">
        <v>8.7803495276102588</v>
      </c>
      <c r="H624">
        <v>0.94406089665628801</v>
      </c>
    </row>
    <row r="625" spans="1:8" x14ac:dyDescent="0.3">
      <c r="A625">
        <f t="shared" si="8"/>
        <v>565</v>
      </c>
      <c r="B625">
        <v>30204594.846748855</v>
      </c>
      <c r="C625">
        <v>119995.89384632195</v>
      </c>
      <c r="D625">
        <v>124.15017562868559</v>
      </c>
      <c r="E625">
        <v>95.701709366888679</v>
      </c>
      <c r="F625">
        <v>3.4289064452230571</v>
      </c>
      <c r="G625">
        <v>13.215240628634151</v>
      </c>
      <c r="H625">
        <v>0.80913478154067042</v>
      </c>
    </row>
    <row r="626" spans="1:8" x14ac:dyDescent="0.3">
      <c r="A626">
        <f t="shared" si="8"/>
        <v>566</v>
      </c>
      <c r="B626">
        <v>20630695.669287004</v>
      </c>
      <c r="C626">
        <v>120003.83581671106</v>
      </c>
      <c r="D626">
        <v>225.46806268860357</v>
      </c>
      <c r="E626">
        <v>79.312696689854562</v>
      </c>
      <c r="F626">
        <v>3.4180042655794907</v>
      </c>
      <c r="G626">
        <v>13.560844598536743</v>
      </c>
      <c r="H626">
        <v>1.0362851677156282</v>
      </c>
    </row>
    <row r="627" spans="1:8" x14ac:dyDescent="0.3">
      <c r="A627">
        <f t="shared" si="8"/>
        <v>567</v>
      </c>
      <c r="B627">
        <v>28726517.5196837</v>
      </c>
      <c r="C627">
        <v>120004.04529015096</v>
      </c>
      <c r="D627">
        <v>153.89919239778476</v>
      </c>
      <c r="E627">
        <v>80.308731534186663</v>
      </c>
      <c r="F627">
        <v>7.8711515133580896</v>
      </c>
      <c r="G627">
        <v>9.2025378878746302</v>
      </c>
      <c r="H627">
        <v>1.0090389766563956</v>
      </c>
    </row>
    <row r="628" spans="1:8" x14ac:dyDescent="0.3">
      <c r="A628">
        <f t="shared" si="8"/>
        <v>568</v>
      </c>
      <c r="B628">
        <v>12589165.64998816</v>
      </c>
      <c r="C628">
        <v>120001.54432201158</v>
      </c>
      <c r="D628">
        <v>247.8357760065534</v>
      </c>
      <c r="E628">
        <v>119.75903677203331</v>
      </c>
      <c r="F628">
        <v>3.3211156618876552</v>
      </c>
      <c r="G628">
        <v>18.246886257461341</v>
      </c>
      <c r="H628">
        <v>1.0512534676924874</v>
      </c>
    </row>
    <row r="629" spans="1:8" x14ac:dyDescent="0.3">
      <c r="A629">
        <f t="shared" si="8"/>
        <v>569</v>
      </c>
      <c r="B629">
        <v>19093004.396503687</v>
      </c>
      <c r="C629">
        <v>120000.82745046947</v>
      </c>
      <c r="D629">
        <v>181.45275733654142</v>
      </c>
      <c r="E629">
        <v>136.35565504242854</v>
      </c>
      <c r="F629">
        <v>0.41827649715808501</v>
      </c>
      <c r="G629">
        <v>15.405690284019766</v>
      </c>
      <c r="H629">
        <v>0.99007867576174868</v>
      </c>
    </row>
    <row r="630" spans="1:8" x14ac:dyDescent="0.3">
      <c r="A630">
        <f t="shared" si="8"/>
        <v>570</v>
      </c>
      <c r="B630">
        <v>17695246.063005619</v>
      </c>
      <c r="C630">
        <v>119996.17182491266</v>
      </c>
      <c r="D630">
        <v>253.02785121148204</v>
      </c>
      <c r="E630">
        <v>73.994384250290892</v>
      </c>
      <c r="F630">
        <v>4.9354205819765831</v>
      </c>
      <c r="G630">
        <v>12.634330506232532</v>
      </c>
      <c r="H630">
        <v>1.0567853164297978</v>
      </c>
    </row>
    <row r="631" spans="1:8" x14ac:dyDescent="0.3">
      <c r="A631">
        <f t="shared" si="8"/>
        <v>571</v>
      </c>
      <c r="B631">
        <v>12431804.507873908</v>
      </c>
      <c r="C631">
        <v>119995.94900501595</v>
      </c>
      <c r="D631">
        <v>258.07073464922155</v>
      </c>
      <c r="E631">
        <v>116.48756201603457</v>
      </c>
      <c r="F631">
        <v>4.5033928652549111</v>
      </c>
      <c r="G631">
        <v>11.561917223280393</v>
      </c>
      <c r="H631">
        <v>1.0539284463483773</v>
      </c>
    </row>
    <row r="632" spans="1:8" x14ac:dyDescent="0.3">
      <c r="A632">
        <f t="shared" si="8"/>
        <v>572</v>
      </c>
      <c r="B632">
        <v>19297909.931727737</v>
      </c>
      <c r="C632">
        <v>120003.23036431333</v>
      </c>
      <c r="D632">
        <v>193.57152365504024</v>
      </c>
      <c r="E632">
        <v>125.40966771537914</v>
      </c>
      <c r="F632">
        <v>6.2839185256693959</v>
      </c>
      <c r="G632">
        <v>9.8626188417703489</v>
      </c>
      <c r="H632">
        <v>0.97416675256354113</v>
      </c>
    </row>
    <row r="633" spans="1:8" x14ac:dyDescent="0.3">
      <c r="A633">
        <f t="shared" si="8"/>
        <v>573</v>
      </c>
      <c r="B633">
        <v>17894947.549549758</v>
      </c>
      <c r="C633">
        <v>120003.80736745358</v>
      </c>
      <c r="D633">
        <v>221.52767551246956</v>
      </c>
      <c r="E633">
        <v>109.91929354784725</v>
      </c>
      <c r="F633">
        <v>3.5944248658885964</v>
      </c>
      <c r="G633">
        <v>10.34660320169597</v>
      </c>
      <c r="H633">
        <v>1.071952714937821</v>
      </c>
    </row>
    <row r="634" spans="1:8" x14ac:dyDescent="0.3">
      <c r="A634">
        <f t="shared" si="8"/>
        <v>574</v>
      </c>
      <c r="B634">
        <v>25310956.010120474</v>
      </c>
      <c r="C634">
        <v>119995.70012318935</v>
      </c>
      <c r="D634">
        <v>146.44086397307021</v>
      </c>
      <c r="E634">
        <v>124.13122954703775</v>
      </c>
      <c r="F634">
        <v>1.4476475091224339</v>
      </c>
      <c r="G634">
        <v>13.829440554051184</v>
      </c>
      <c r="H634">
        <v>1.0104740418996236</v>
      </c>
    </row>
    <row r="635" spans="1:8" x14ac:dyDescent="0.3">
      <c r="A635">
        <f t="shared" si="8"/>
        <v>575</v>
      </c>
      <c r="B635">
        <v>21692999.430847093</v>
      </c>
      <c r="C635">
        <v>120001.70107447113</v>
      </c>
      <c r="D635">
        <v>198.25170362055667</v>
      </c>
      <c r="E635">
        <v>96.920351385519098</v>
      </c>
      <c r="F635">
        <v>6.7815374284222303</v>
      </c>
      <c r="G635">
        <v>9.2630442155038999</v>
      </c>
      <c r="H635">
        <v>1.0834858025914635</v>
      </c>
    </row>
    <row r="636" spans="1:8" x14ac:dyDescent="0.3">
      <c r="A636">
        <f t="shared" si="8"/>
        <v>576</v>
      </c>
      <c r="B636">
        <v>13529686.865423217</v>
      </c>
      <c r="C636">
        <v>120002.34933517806</v>
      </c>
      <c r="D636">
        <v>242.59690533722238</v>
      </c>
      <c r="E636">
        <v>121.76693890385863</v>
      </c>
      <c r="F636">
        <v>5.8387247208267024</v>
      </c>
      <c r="G636">
        <v>13.100685479897173</v>
      </c>
      <c r="H636">
        <v>1.0300138361795508</v>
      </c>
    </row>
    <row r="637" spans="1:8" x14ac:dyDescent="0.3">
      <c r="A637">
        <f t="shared" si="8"/>
        <v>577</v>
      </c>
      <c r="B637">
        <v>26642126.111476731</v>
      </c>
      <c r="C637">
        <v>120001.8936856334</v>
      </c>
      <c r="D637">
        <v>152.2748359145765</v>
      </c>
      <c r="E637">
        <v>97.791468318108883</v>
      </c>
      <c r="F637">
        <v>6.9276007918539788</v>
      </c>
      <c r="G637">
        <v>12.95430469393542</v>
      </c>
      <c r="H637">
        <v>1.0327492767451134</v>
      </c>
    </row>
    <row r="638" spans="1:8" x14ac:dyDescent="0.3">
      <c r="A638">
        <f t="shared" si="8"/>
        <v>578</v>
      </c>
      <c r="B638">
        <v>20972065.129681289</v>
      </c>
      <c r="C638">
        <v>120004.13373342299</v>
      </c>
      <c r="D638">
        <v>209.60409135728159</v>
      </c>
      <c r="E638">
        <v>88.508018623522304</v>
      </c>
      <c r="F638">
        <v>5.7282766532089493</v>
      </c>
      <c r="G638">
        <v>14.577071548099168</v>
      </c>
      <c r="H638">
        <v>0.97595477520479179</v>
      </c>
    </row>
    <row r="639" spans="1:8" x14ac:dyDescent="0.3">
      <c r="A639">
        <f t="shared" ref="A639:A702" si="9">A638+1</f>
        <v>579</v>
      </c>
      <c r="B639">
        <v>20119942.482773475</v>
      </c>
      <c r="C639">
        <v>120007.68803199539</v>
      </c>
      <c r="D639">
        <v>211.76196398259745</v>
      </c>
      <c r="E639">
        <v>103.70395101451545</v>
      </c>
      <c r="F639">
        <v>3.9597428821509566</v>
      </c>
      <c r="G639">
        <v>9.55271142347347</v>
      </c>
      <c r="H639">
        <v>1.0400234336607388</v>
      </c>
    </row>
    <row r="640" spans="1:8" x14ac:dyDescent="0.3">
      <c r="A640">
        <f t="shared" si="9"/>
        <v>580</v>
      </c>
      <c r="B640">
        <v>23480084.804357171</v>
      </c>
      <c r="C640">
        <v>119996.42214198232</v>
      </c>
      <c r="D640">
        <v>162.29623061274748</v>
      </c>
      <c r="E640">
        <v>113.15687790137551</v>
      </c>
      <c r="F640">
        <v>7.0182321112788735</v>
      </c>
      <c r="G640">
        <v>11.013780862248458</v>
      </c>
      <c r="H640">
        <v>0.9696216387046046</v>
      </c>
    </row>
    <row r="641" spans="1:8" x14ac:dyDescent="0.3">
      <c r="A641">
        <f t="shared" si="9"/>
        <v>581</v>
      </c>
      <c r="B641">
        <v>18896851.282717519</v>
      </c>
      <c r="C641">
        <v>120001.77090034395</v>
      </c>
      <c r="D641">
        <v>239.20856772994105</v>
      </c>
      <c r="E641">
        <v>76.602562367406605</v>
      </c>
      <c r="F641">
        <v>9.2821144508749409</v>
      </c>
      <c r="G641">
        <v>12.173749750939338</v>
      </c>
      <c r="H641">
        <v>1.0111607210019546</v>
      </c>
    </row>
    <row r="642" spans="1:8" x14ac:dyDescent="0.3">
      <c r="A642">
        <f t="shared" si="9"/>
        <v>582</v>
      </c>
      <c r="B642">
        <v>6798351.4619493037</v>
      </c>
      <c r="C642">
        <v>59998.989515854599</v>
      </c>
      <c r="D642">
        <v>270.02221521337884</v>
      </c>
      <c r="E642">
        <v>94.804790357506576</v>
      </c>
      <c r="F642">
        <v>6.6970227821168553</v>
      </c>
      <c r="G642">
        <v>10.454558583422399</v>
      </c>
      <c r="H642">
        <v>0.90108001037559138</v>
      </c>
    </row>
    <row r="643" spans="1:8" x14ac:dyDescent="0.3">
      <c r="A643">
        <f t="shared" si="9"/>
        <v>583</v>
      </c>
      <c r="B643">
        <v>7753214.8531033248</v>
      </c>
      <c r="C643">
        <v>119997.30670376762</v>
      </c>
      <c r="D643">
        <v>315.65686278035128</v>
      </c>
      <c r="E643">
        <v>101.20672663799948</v>
      </c>
      <c r="F643">
        <v>3.6683775772644545</v>
      </c>
      <c r="G643">
        <v>11.95364579836561</v>
      </c>
      <c r="H643">
        <v>1.2032752924962338</v>
      </c>
    </row>
    <row r="644" spans="1:8" x14ac:dyDescent="0.3">
      <c r="A644">
        <f t="shared" si="9"/>
        <v>584</v>
      </c>
      <c r="B644">
        <v>19468669.539343849</v>
      </c>
      <c r="C644">
        <v>119996.22572993323</v>
      </c>
      <c r="D644">
        <v>216.52846426876366</v>
      </c>
      <c r="E644">
        <v>100.87633838388643</v>
      </c>
      <c r="F644">
        <v>8.2029491239448724</v>
      </c>
      <c r="G644">
        <v>8.1897122505579176</v>
      </c>
      <c r="H644">
        <v>1.0820677198171182</v>
      </c>
    </row>
    <row r="645" spans="1:8" x14ac:dyDescent="0.3">
      <c r="A645">
        <f t="shared" si="9"/>
        <v>585</v>
      </c>
      <c r="B645">
        <v>27174271.257402889</v>
      </c>
      <c r="C645">
        <v>120008.73438504303</v>
      </c>
      <c r="D645">
        <v>125.17863820623828</v>
      </c>
      <c r="E645">
        <v>124.44284492610635</v>
      </c>
      <c r="F645">
        <v>3.7129937809460563</v>
      </c>
      <c r="G645">
        <v>8.098109409488238</v>
      </c>
      <c r="H645">
        <v>1.0011850858885376</v>
      </c>
    </row>
    <row r="646" spans="1:8" x14ac:dyDescent="0.3">
      <c r="A646">
        <f t="shared" si="9"/>
        <v>586</v>
      </c>
      <c r="B646">
        <v>11430785.696363725</v>
      </c>
      <c r="C646">
        <v>119996.43564710194</v>
      </c>
      <c r="D646">
        <v>255.51162391447667</v>
      </c>
      <c r="E646">
        <v>129.08006542312842</v>
      </c>
      <c r="F646">
        <v>7.5357649526635342</v>
      </c>
      <c r="G646">
        <v>9.3068086946730499</v>
      </c>
      <c r="H646">
        <v>1.1791022265756066</v>
      </c>
    </row>
    <row r="647" spans="1:8" x14ac:dyDescent="0.3">
      <c r="A647">
        <f t="shared" si="9"/>
        <v>587</v>
      </c>
      <c r="B647">
        <v>19879288.773736604</v>
      </c>
      <c r="C647">
        <v>119998.42114805242</v>
      </c>
      <c r="D647">
        <v>219.09069416729005</v>
      </c>
      <c r="E647">
        <v>96.354785739146195</v>
      </c>
      <c r="F647">
        <v>3.8238647368578076</v>
      </c>
      <c r="G647">
        <v>5.5983587123775438</v>
      </c>
      <c r="H647">
        <v>1.0205090969938184</v>
      </c>
    </row>
    <row r="648" spans="1:8" x14ac:dyDescent="0.3">
      <c r="A648">
        <f t="shared" si="9"/>
        <v>588</v>
      </c>
      <c r="B648">
        <v>14465433.7929717</v>
      </c>
      <c r="C648">
        <v>120001.62463191352</v>
      </c>
      <c r="D648">
        <v>246.85265547115449</v>
      </c>
      <c r="E648">
        <v>112.14276882814812</v>
      </c>
      <c r="F648">
        <v>2.8179117755396956</v>
      </c>
      <c r="G648">
        <v>11.263705307584948</v>
      </c>
      <c r="H648">
        <v>1.0590157807176344</v>
      </c>
    </row>
    <row r="649" spans="1:8" x14ac:dyDescent="0.3">
      <c r="A649">
        <f t="shared" si="9"/>
        <v>589</v>
      </c>
      <c r="B649">
        <v>17383331.759223253</v>
      </c>
      <c r="C649">
        <v>119998.258870702</v>
      </c>
      <c r="D649">
        <v>219.48784486960622</v>
      </c>
      <c r="E649">
        <v>109.15641531566104</v>
      </c>
      <c r="F649">
        <v>3.1031442760329293</v>
      </c>
      <c r="G649">
        <v>16.224920449567243</v>
      </c>
      <c r="H649">
        <v>1.1814485331015079</v>
      </c>
    </row>
    <row r="650" spans="1:8" x14ac:dyDescent="0.3">
      <c r="A650">
        <f t="shared" si="9"/>
        <v>590</v>
      </c>
      <c r="B650">
        <v>21087652.478029788</v>
      </c>
      <c r="C650">
        <v>119997.75881645923</v>
      </c>
      <c r="D650">
        <v>192.01532687813662</v>
      </c>
      <c r="E650">
        <v>107.11762057261164</v>
      </c>
      <c r="F650">
        <v>4.5473311138036632</v>
      </c>
      <c r="G650">
        <v>12.322927098451579</v>
      </c>
      <c r="H650">
        <v>0.98819588428139571</v>
      </c>
    </row>
    <row r="651" spans="1:8" x14ac:dyDescent="0.3">
      <c r="A651">
        <f t="shared" si="9"/>
        <v>591</v>
      </c>
      <c r="B651">
        <v>19860787.835332982</v>
      </c>
      <c r="C651">
        <v>119999.57609471401</v>
      </c>
      <c r="D651">
        <v>186.15155197875345</v>
      </c>
      <c r="E651">
        <v>126.44690021447755</v>
      </c>
      <c r="F651">
        <v>6.5173525580637293</v>
      </c>
      <c r="G651">
        <v>11.508398592494171</v>
      </c>
      <c r="H651">
        <v>0.9462726727711237</v>
      </c>
    </row>
    <row r="652" spans="1:8" x14ac:dyDescent="0.3">
      <c r="A652">
        <f t="shared" si="9"/>
        <v>592</v>
      </c>
      <c r="B652">
        <v>24070484.98645537</v>
      </c>
      <c r="C652">
        <v>120000.61418238311</v>
      </c>
      <c r="D652">
        <v>165.89763731449662</v>
      </c>
      <c r="E652">
        <v>106.57914662903804</v>
      </c>
      <c r="F652">
        <v>4.5938375842491448</v>
      </c>
      <c r="G652">
        <v>11.135520033652359</v>
      </c>
      <c r="H652">
        <v>0.84502512733867208</v>
      </c>
    </row>
    <row r="653" spans="1:8" x14ac:dyDescent="0.3">
      <c r="A653">
        <f t="shared" si="9"/>
        <v>593</v>
      </c>
      <c r="B653">
        <v>21627378.12172474</v>
      </c>
      <c r="C653">
        <v>119999.510501258</v>
      </c>
      <c r="D653">
        <v>185.766408546847</v>
      </c>
      <c r="E653">
        <v>112.70696608271054</v>
      </c>
      <c r="F653">
        <v>5.7422121721148587</v>
      </c>
      <c r="G653">
        <v>11.024403275221051</v>
      </c>
      <c r="H653">
        <v>0.84747324944497837</v>
      </c>
    </row>
    <row r="654" spans="1:8" x14ac:dyDescent="0.3">
      <c r="A654">
        <f t="shared" si="9"/>
        <v>594</v>
      </c>
      <c r="B654">
        <v>20141671.311431192</v>
      </c>
      <c r="C654">
        <v>120003.31070332929</v>
      </c>
      <c r="D654">
        <v>205.78923671400452</v>
      </c>
      <c r="E654">
        <v>108.06990714926556</v>
      </c>
      <c r="F654">
        <v>8.1285180133865929</v>
      </c>
      <c r="G654">
        <v>6.995460334148131</v>
      </c>
      <c r="H654">
        <v>1.040514542211542</v>
      </c>
    </row>
    <row r="655" spans="1:8" x14ac:dyDescent="0.3">
      <c r="A655">
        <f t="shared" si="9"/>
        <v>595</v>
      </c>
      <c r="B655">
        <v>19415224.989581078</v>
      </c>
      <c r="C655">
        <v>119998.96480052285</v>
      </c>
      <c r="D655">
        <v>212.04290699996292</v>
      </c>
      <c r="E655">
        <v>105.85839827861606</v>
      </c>
      <c r="F655">
        <v>3.7047396086084241</v>
      </c>
      <c r="G655">
        <v>7.7449503425774031</v>
      </c>
      <c r="H655">
        <v>1.0424180489353505</v>
      </c>
    </row>
    <row r="656" spans="1:8" x14ac:dyDescent="0.3">
      <c r="A656">
        <f t="shared" si="9"/>
        <v>596</v>
      </c>
      <c r="B656">
        <v>12059988.08806432</v>
      </c>
      <c r="C656">
        <v>120002.58354491756</v>
      </c>
      <c r="D656">
        <v>247.6228361850562</v>
      </c>
      <c r="E656">
        <v>126.37188675113421</v>
      </c>
      <c r="F656">
        <v>7.7250447291485038</v>
      </c>
      <c r="G656">
        <v>12.766434049635265</v>
      </c>
      <c r="H656">
        <v>1.0478131276804579</v>
      </c>
    </row>
    <row r="657" spans="1:8" x14ac:dyDescent="0.3">
      <c r="A657">
        <f t="shared" si="9"/>
        <v>597</v>
      </c>
      <c r="B657">
        <v>15916419.215274036</v>
      </c>
      <c r="C657">
        <v>119998.44773194521</v>
      </c>
      <c r="D657">
        <v>168.96331975532479</v>
      </c>
      <c r="E657">
        <v>175.31527327374829</v>
      </c>
      <c r="F657">
        <v>8.615876092596114</v>
      </c>
      <c r="G657">
        <v>9.058505122796225</v>
      </c>
      <c r="H657">
        <v>0.99001013319979725</v>
      </c>
    </row>
    <row r="658" spans="1:8" x14ac:dyDescent="0.3">
      <c r="A658">
        <f t="shared" si="9"/>
        <v>598</v>
      </c>
      <c r="B658">
        <v>35371485.813163832</v>
      </c>
      <c r="C658">
        <v>120000.19862567597</v>
      </c>
      <c r="D658">
        <v>126.74750206480581</v>
      </c>
      <c r="E658">
        <v>53.833587925237367</v>
      </c>
      <c r="F658">
        <v>3.3973283895889308</v>
      </c>
      <c r="G658">
        <v>14.425742793041938</v>
      </c>
      <c r="H658">
        <v>0.94390629621595878</v>
      </c>
    </row>
    <row r="659" spans="1:8" x14ac:dyDescent="0.3">
      <c r="A659">
        <f t="shared" si="9"/>
        <v>599</v>
      </c>
      <c r="B659">
        <v>22513564.178191423</v>
      </c>
      <c r="C659">
        <v>120002.22144336002</v>
      </c>
      <c r="D659">
        <v>195.88780873795361</v>
      </c>
      <c r="E659">
        <v>97.558484812833157</v>
      </c>
      <c r="F659">
        <v>1.52913851259851</v>
      </c>
      <c r="G659">
        <v>6.8725648401672128</v>
      </c>
      <c r="H659">
        <v>0.84929216221422188</v>
      </c>
    </row>
    <row r="660" spans="1:8" x14ac:dyDescent="0.3">
      <c r="A660">
        <f t="shared" si="9"/>
        <v>600</v>
      </c>
      <c r="B660">
        <v>12947224.459458806</v>
      </c>
      <c r="C660">
        <v>119999.16613551084</v>
      </c>
      <c r="D660">
        <v>253.40097413979325</v>
      </c>
      <c r="E660">
        <v>113.75003049745816</v>
      </c>
      <c r="F660">
        <v>5.4343113549452813</v>
      </c>
      <c r="G660">
        <v>17.337617403396571</v>
      </c>
      <c r="H660">
        <v>1.0440499430790875</v>
      </c>
    </row>
    <row r="661" spans="1:8" x14ac:dyDescent="0.3">
      <c r="A661">
        <f t="shared" si="9"/>
        <v>601</v>
      </c>
      <c r="B661">
        <v>8436077.6152764224</v>
      </c>
      <c r="C661">
        <v>59999.046855232555</v>
      </c>
      <c r="D661">
        <v>237.88985732810056</v>
      </c>
      <c r="E661">
        <v>102.83399150710038</v>
      </c>
      <c r="F661">
        <v>5.6118328373786728</v>
      </c>
      <c r="G661">
        <v>8.6657992427728239</v>
      </c>
      <c r="H661">
        <v>1.2088421851959277</v>
      </c>
    </row>
    <row r="662" spans="1:8" x14ac:dyDescent="0.3">
      <c r="A662">
        <f t="shared" si="9"/>
        <v>602</v>
      </c>
      <c r="B662">
        <v>12086933.78800679</v>
      </c>
      <c r="C662">
        <v>119996.84375206173</v>
      </c>
      <c r="D662">
        <v>280.9510236935393</v>
      </c>
      <c r="E662">
        <v>99.15567156412294</v>
      </c>
      <c r="F662">
        <v>8.6286059221524152</v>
      </c>
      <c r="G662">
        <v>5.1822196839542869</v>
      </c>
      <c r="H662">
        <v>1.0549998952527282</v>
      </c>
    </row>
    <row r="663" spans="1:8" x14ac:dyDescent="0.3">
      <c r="A663">
        <f t="shared" si="9"/>
        <v>603</v>
      </c>
      <c r="B663">
        <v>16957491.857165217</v>
      </c>
      <c r="C663">
        <v>119999.89951490307</v>
      </c>
      <c r="D663">
        <v>230.22588588746638</v>
      </c>
      <c r="E663">
        <v>103.7364290801021</v>
      </c>
      <c r="F663">
        <v>4.6059798708796515</v>
      </c>
      <c r="G663">
        <v>11.980065217898597</v>
      </c>
      <c r="H663">
        <v>1.0314820371056663</v>
      </c>
    </row>
    <row r="664" spans="1:8" x14ac:dyDescent="0.3">
      <c r="A664">
        <f t="shared" si="9"/>
        <v>604</v>
      </c>
      <c r="B664">
        <v>17384051.60486415</v>
      </c>
      <c r="C664">
        <v>120000.77971041149</v>
      </c>
      <c r="D664">
        <v>234.67554399771635</v>
      </c>
      <c r="E664">
        <v>102.20862627837869</v>
      </c>
      <c r="F664">
        <v>2.6390728408442934</v>
      </c>
      <c r="G664">
        <v>8.3902785912178874</v>
      </c>
      <c r="H664">
        <v>0.89289851237428852</v>
      </c>
    </row>
    <row r="665" spans="1:8" x14ac:dyDescent="0.3">
      <c r="A665">
        <f t="shared" si="9"/>
        <v>605</v>
      </c>
      <c r="B665">
        <v>12513721.38702324</v>
      </c>
      <c r="C665">
        <v>119997.84766331839</v>
      </c>
      <c r="D665">
        <v>260.74915534834389</v>
      </c>
      <c r="E665">
        <v>119.60440513401777</v>
      </c>
      <c r="F665">
        <v>4.4057371139009032</v>
      </c>
      <c r="G665">
        <v>8.4322815191785221</v>
      </c>
      <c r="H665">
        <v>1.1860361540366067</v>
      </c>
    </row>
    <row r="666" spans="1:8" x14ac:dyDescent="0.3">
      <c r="A666">
        <f t="shared" si="9"/>
        <v>606</v>
      </c>
      <c r="B666">
        <v>22033005.621955752</v>
      </c>
      <c r="C666">
        <v>120002.27406399889</v>
      </c>
      <c r="D666">
        <v>205.95707799698425</v>
      </c>
      <c r="E666">
        <v>86.532340577824328</v>
      </c>
      <c r="F666">
        <v>8.6383914924639793</v>
      </c>
      <c r="G666">
        <v>5.0394379453893325</v>
      </c>
      <c r="H666">
        <v>0.99919318239493304</v>
      </c>
    </row>
    <row r="667" spans="1:8" x14ac:dyDescent="0.3">
      <c r="A667">
        <f t="shared" si="9"/>
        <v>607</v>
      </c>
      <c r="B667">
        <v>18699888.410917088</v>
      </c>
      <c r="C667">
        <v>120001.20676323558</v>
      </c>
      <c r="D667">
        <v>212.46905454035311</v>
      </c>
      <c r="E667">
        <v>112.76364329068208</v>
      </c>
      <c r="F667">
        <v>5.0680976970343794</v>
      </c>
      <c r="G667">
        <v>6.545680821050321</v>
      </c>
      <c r="H667">
        <v>1.0121783271740417</v>
      </c>
    </row>
    <row r="668" spans="1:8" x14ac:dyDescent="0.3">
      <c r="A668">
        <f t="shared" si="9"/>
        <v>608</v>
      </c>
      <c r="B668">
        <v>15621530.096338719</v>
      </c>
      <c r="C668">
        <v>119999.48721387864</v>
      </c>
      <c r="D668">
        <v>260.70604015453722</v>
      </c>
      <c r="E668">
        <v>86.176511593379331</v>
      </c>
      <c r="F668">
        <v>9.5204896942412667</v>
      </c>
      <c r="G668">
        <v>8.9229801229003769</v>
      </c>
      <c r="H668">
        <v>0.96136864643145026</v>
      </c>
    </row>
    <row r="669" spans="1:8" x14ac:dyDescent="0.3">
      <c r="A669">
        <f t="shared" si="9"/>
        <v>609</v>
      </c>
      <c r="B669">
        <v>18241118.608487017</v>
      </c>
      <c r="C669">
        <v>120001.89643670213</v>
      </c>
      <c r="D669">
        <v>206.00050798310079</v>
      </c>
      <c r="E669">
        <v>126.3564270641541</v>
      </c>
      <c r="F669">
        <v>3.2101166709579427</v>
      </c>
      <c r="G669">
        <v>7.6919397276434438</v>
      </c>
      <c r="H669">
        <v>1.0245021725638952</v>
      </c>
    </row>
    <row r="670" spans="1:8" x14ac:dyDescent="0.3">
      <c r="A670">
        <f t="shared" si="9"/>
        <v>610</v>
      </c>
      <c r="B670">
        <v>25683422.119549081</v>
      </c>
      <c r="C670">
        <v>119996.66122405275</v>
      </c>
      <c r="D670">
        <v>182.79195518279491</v>
      </c>
      <c r="E670">
        <v>78.050802734244314</v>
      </c>
      <c r="F670">
        <v>5.6157231286147056</v>
      </c>
      <c r="G670">
        <v>13.546606083104646</v>
      </c>
      <c r="H670">
        <v>1.1606856446641827</v>
      </c>
    </row>
    <row r="671" spans="1:8" x14ac:dyDescent="0.3">
      <c r="A671">
        <f t="shared" si="9"/>
        <v>611</v>
      </c>
      <c r="B671">
        <v>9037825.7218232304</v>
      </c>
      <c r="C671">
        <v>60002.197894041812</v>
      </c>
      <c r="D671">
        <v>205.83082312452467</v>
      </c>
      <c r="E671">
        <v>122.2909975757125</v>
      </c>
      <c r="F671">
        <v>1.5141914905109966</v>
      </c>
      <c r="G671">
        <v>13.540440740994773</v>
      </c>
      <c r="H671">
        <v>1.0604865899015534</v>
      </c>
    </row>
    <row r="672" spans="1:8" x14ac:dyDescent="0.3">
      <c r="A672">
        <f t="shared" si="9"/>
        <v>612</v>
      </c>
      <c r="B672">
        <v>23722357.697079413</v>
      </c>
      <c r="C672">
        <v>120004.94847666756</v>
      </c>
      <c r="D672">
        <v>179.65631991681681</v>
      </c>
      <c r="E672">
        <v>105.59758861678441</v>
      </c>
      <c r="F672">
        <v>4.5685934931296659</v>
      </c>
      <c r="G672">
        <v>5.8951222913346601</v>
      </c>
      <c r="H672">
        <v>0.98393141690158892</v>
      </c>
    </row>
    <row r="673" spans="1:8" x14ac:dyDescent="0.3">
      <c r="A673">
        <f t="shared" si="9"/>
        <v>613</v>
      </c>
      <c r="B673">
        <v>23440596.796921521</v>
      </c>
      <c r="C673">
        <v>119997.68930868075</v>
      </c>
      <c r="D673">
        <v>224.39754910355242</v>
      </c>
      <c r="E673">
        <v>67.643580463142456</v>
      </c>
      <c r="F673">
        <v>1.2916213526016405</v>
      </c>
      <c r="G673">
        <v>7.9982441978362271</v>
      </c>
      <c r="H673">
        <v>0.78662003120971902</v>
      </c>
    </row>
    <row r="674" spans="1:8" x14ac:dyDescent="0.3">
      <c r="A674">
        <f t="shared" si="9"/>
        <v>614</v>
      </c>
      <c r="B674">
        <v>19586407.540248536</v>
      </c>
      <c r="C674">
        <v>119999.70537457065</v>
      </c>
      <c r="D674">
        <v>180.45137944797989</v>
      </c>
      <c r="E674">
        <v>131.18110082693198</v>
      </c>
      <c r="F674">
        <v>5.8499809467081461</v>
      </c>
      <c r="G674">
        <v>11.855315593464766</v>
      </c>
      <c r="H674">
        <v>0.92722562926652707</v>
      </c>
    </row>
    <row r="675" spans="1:8" x14ac:dyDescent="0.3">
      <c r="A675">
        <f t="shared" si="9"/>
        <v>615</v>
      </c>
      <c r="B675">
        <v>28193551.293951016</v>
      </c>
      <c r="C675">
        <v>119999.85567935558</v>
      </c>
      <c r="D675">
        <v>157.22802911558588</v>
      </c>
      <c r="E675">
        <v>84.362595907930057</v>
      </c>
      <c r="F675">
        <v>5.8297667633134882</v>
      </c>
      <c r="G675">
        <v>7.6886607411945036</v>
      </c>
      <c r="H675">
        <v>0.81787249330904654</v>
      </c>
    </row>
    <row r="676" spans="1:8" x14ac:dyDescent="0.3">
      <c r="A676">
        <f t="shared" si="9"/>
        <v>616</v>
      </c>
      <c r="B676">
        <v>24525855.172801368</v>
      </c>
      <c r="C676">
        <v>120002.52289082503</v>
      </c>
      <c r="D676">
        <v>175.49664862446429</v>
      </c>
      <c r="E676">
        <v>96.567577062832925</v>
      </c>
      <c r="F676">
        <v>6.0735874575077782</v>
      </c>
      <c r="G676">
        <v>11.951670941553651</v>
      </c>
      <c r="H676">
        <v>0.93572759101485592</v>
      </c>
    </row>
    <row r="677" spans="1:8" x14ac:dyDescent="0.3">
      <c r="A677">
        <f t="shared" si="9"/>
        <v>617</v>
      </c>
      <c r="B677">
        <v>24053890.352826841</v>
      </c>
      <c r="C677">
        <v>119999.53846527284</v>
      </c>
      <c r="D677">
        <v>200.97671891757003</v>
      </c>
      <c r="E677">
        <v>79.901354305816142</v>
      </c>
      <c r="F677">
        <v>2.835227120430301</v>
      </c>
      <c r="G677">
        <v>7.7628252347439215</v>
      </c>
      <c r="H677">
        <v>1.0339924006734118</v>
      </c>
    </row>
    <row r="678" spans="1:8" x14ac:dyDescent="0.3">
      <c r="A678">
        <f t="shared" si="9"/>
        <v>618</v>
      </c>
      <c r="B678">
        <v>16591830.84660691</v>
      </c>
      <c r="C678">
        <v>120000.11320048677</v>
      </c>
      <c r="D678">
        <v>244.7854451727631</v>
      </c>
      <c r="E678">
        <v>95.450858807653418</v>
      </c>
      <c r="F678">
        <v>4.4061766301479333</v>
      </c>
      <c r="G678">
        <v>9.984811490180407</v>
      </c>
      <c r="H678">
        <v>0.9647708432584472</v>
      </c>
    </row>
    <row r="679" spans="1:8" x14ac:dyDescent="0.3">
      <c r="A679">
        <f t="shared" si="9"/>
        <v>619</v>
      </c>
      <c r="B679">
        <v>20096762.641573228</v>
      </c>
      <c r="C679">
        <v>120000.84032622</v>
      </c>
      <c r="D679">
        <v>197.44645408578819</v>
      </c>
      <c r="E679">
        <v>114.56507220294911</v>
      </c>
      <c r="F679">
        <v>8.2908471607140051</v>
      </c>
      <c r="G679">
        <v>8.0981297662800884</v>
      </c>
      <c r="H679">
        <v>1.0077231814544969</v>
      </c>
    </row>
    <row r="680" spans="1:8" x14ac:dyDescent="0.3">
      <c r="A680">
        <f t="shared" si="9"/>
        <v>620</v>
      </c>
      <c r="B680">
        <v>20858927.01241149</v>
      </c>
      <c r="C680">
        <v>119996.11384228547</v>
      </c>
      <c r="D680">
        <v>206.68027063863514</v>
      </c>
      <c r="E680">
        <v>98.471303548732593</v>
      </c>
      <c r="F680">
        <v>4.970473606709807</v>
      </c>
      <c r="G680">
        <v>6.8458946375043537</v>
      </c>
      <c r="H680">
        <v>1.0635404960314239</v>
      </c>
    </row>
    <row r="681" spans="1:8" x14ac:dyDescent="0.3">
      <c r="A681">
        <f t="shared" si="9"/>
        <v>621</v>
      </c>
      <c r="B681">
        <v>22075680.159110658</v>
      </c>
      <c r="C681">
        <v>120000.62391410895</v>
      </c>
      <c r="D681">
        <v>179.81808731911272</v>
      </c>
      <c r="E681">
        <v>118.42539863001845</v>
      </c>
      <c r="F681">
        <v>4.0305429978091665</v>
      </c>
      <c r="G681">
        <v>7.1484511766787699</v>
      </c>
      <c r="H681">
        <v>1.0455928019560938</v>
      </c>
    </row>
    <row r="682" spans="1:8" x14ac:dyDescent="0.3">
      <c r="A682">
        <f t="shared" si="9"/>
        <v>622</v>
      </c>
      <c r="B682">
        <v>18205180.364555202</v>
      </c>
      <c r="C682">
        <v>119998.70796876479</v>
      </c>
      <c r="D682">
        <v>216.97620987866199</v>
      </c>
      <c r="E682">
        <v>114.37007985446853</v>
      </c>
      <c r="F682">
        <v>2.0281506722626359</v>
      </c>
      <c r="G682">
        <v>12.389597505877607</v>
      </c>
      <c r="H682">
        <v>1.0566007918697293</v>
      </c>
    </row>
    <row r="683" spans="1:8" x14ac:dyDescent="0.3">
      <c r="A683">
        <f t="shared" si="9"/>
        <v>623</v>
      </c>
      <c r="B683">
        <v>17793178.532147959</v>
      </c>
      <c r="C683">
        <v>120001.29469913057</v>
      </c>
      <c r="D683">
        <v>228.47605656505237</v>
      </c>
      <c r="E683">
        <v>105.75724204707402</v>
      </c>
      <c r="F683">
        <v>4.5344241570593242</v>
      </c>
      <c r="G683">
        <v>9.6097985255327476</v>
      </c>
      <c r="H683">
        <v>1.0604754773677554</v>
      </c>
    </row>
    <row r="684" spans="1:8" x14ac:dyDescent="0.3">
      <c r="A684">
        <f t="shared" si="9"/>
        <v>624</v>
      </c>
      <c r="B684">
        <v>29568991.857908629</v>
      </c>
      <c r="C684">
        <v>120000.0716861671</v>
      </c>
      <c r="D684">
        <v>149.00808630218023</v>
      </c>
      <c r="E684">
        <v>81.878734755784762</v>
      </c>
      <c r="F684">
        <v>4.9820537961405504</v>
      </c>
      <c r="G684">
        <v>5.2238318224393305</v>
      </c>
      <c r="H684">
        <v>0.89526690939073506</v>
      </c>
    </row>
    <row r="685" spans="1:8" x14ac:dyDescent="0.3">
      <c r="A685">
        <f t="shared" si="9"/>
        <v>625</v>
      </c>
      <c r="B685">
        <v>24753115.166266151</v>
      </c>
      <c r="C685">
        <v>120001.12499351913</v>
      </c>
      <c r="D685">
        <v>174.55167007788626</v>
      </c>
      <c r="E685">
        <v>100.40400683076582</v>
      </c>
      <c r="F685">
        <v>5.2970429129929046</v>
      </c>
      <c r="G685">
        <v>9.721974067072237</v>
      </c>
      <c r="H685">
        <v>1.0255314921367158</v>
      </c>
    </row>
    <row r="686" spans="1:8" x14ac:dyDescent="0.3">
      <c r="A686">
        <f t="shared" si="9"/>
        <v>626</v>
      </c>
      <c r="B686">
        <v>17824914.990858532</v>
      </c>
      <c r="C686">
        <v>120001.31404885299</v>
      </c>
      <c r="D686">
        <v>240.89872837647053</v>
      </c>
      <c r="E686">
        <v>88.828736288698281</v>
      </c>
      <c r="F686">
        <v>3.3286513862492568</v>
      </c>
      <c r="G686">
        <v>11.72803919612962</v>
      </c>
      <c r="H686">
        <v>1.0882465020785261</v>
      </c>
    </row>
    <row r="687" spans="1:8" x14ac:dyDescent="0.3">
      <c r="A687">
        <f t="shared" si="9"/>
        <v>627</v>
      </c>
      <c r="B687">
        <v>21234422.05150608</v>
      </c>
      <c r="C687">
        <v>119998.53552595539</v>
      </c>
      <c r="D687">
        <v>214.56850226308438</v>
      </c>
      <c r="E687">
        <v>90.303524896540466</v>
      </c>
      <c r="F687">
        <v>2.5732197769253804</v>
      </c>
      <c r="G687">
        <v>5.6129630360486633</v>
      </c>
      <c r="H687">
        <v>1.0148882286130165</v>
      </c>
    </row>
    <row r="688" spans="1:8" x14ac:dyDescent="0.3">
      <c r="A688">
        <f t="shared" si="9"/>
        <v>628</v>
      </c>
      <c r="B688">
        <v>14580948.07340017</v>
      </c>
      <c r="C688">
        <v>120000.51313672889</v>
      </c>
      <c r="D688">
        <v>223.42485832646639</v>
      </c>
      <c r="E688">
        <v>128.9842640613694</v>
      </c>
      <c r="F688">
        <v>7.177218031222556</v>
      </c>
      <c r="G688">
        <v>15.564260536462818</v>
      </c>
      <c r="H688">
        <v>1.0921973460290886</v>
      </c>
    </row>
    <row r="689" spans="1:8" x14ac:dyDescent="0.3">
      <c r="A689">
        <f t="shared" si="9"/>
        <v>629</v>
      </c>
      <c r="B689">
        <v>19081414.623053201</v>
      </c>
      <c r="C689">
        <v>119998.76444702437</v>
      </c>
      <c r="D689">
        <v>189.40340561413794</v>
      </c>
      <c r="E689">
        <v>124.14476803474059</v>
      </c>
      <c r="F689">
        <v>7.2569246102658056</v>
      </c>
      <c r="G689">
        <v>15.121455135128048</v>
      </c>
      <c r="H689">
        <v>1.0145948204649604</v>
      </c>
    </row>
    <row r="690" spans="1:8" x14ac:dyDescent="0.3">
      <c r="A690">
        <f t="shared" si="9"/>
        <v>630</v>
      </c>
      <c r="B690">
        <v>9122507.7520231158</v>
      </c>
      <c r="C690">
        <v>119996.52250650203</v>
      </c>
      <c r="D690">
        <v>280.01188228281308</v>
      </c>
      <c r="E690">
        <v>126.67849097014954</v>
      </c>
      <c r="F690">
        <v>2.629099134980208</v>
      </c>
      <c r="G690">
        <v>11.778548964665863</v>
      </c>
      <c r="H690">
        <v>1.0595686699377269</v>
      </c>
    </row>
    <row r="691" spans="1:8" x14ac:dyDescent="0.3">
      <c r="A691">
        <f t="shared" si="9"/>
        <v>631</v>
      </c>
      <c r="B691">
        <v>14987573.923283584</v>
      </c>
      <c r="C691">
        <v>120002.63527665309</v>
      </c>
      <c r="D691">
        <v>233.1619697326004</v>
      </c>
      <c r="E691">
        <v>116.81748162724111</v>
      </c>
      <c r="F691">
        <v>7.705043761898656</v>
      </c>
      <c r="G691">
        <v>13.280115410940242</v>
      </c>
      <c r="H691">
        <v>1.0490491755578073</v>
      </c>
    </row>
    <row r="692" spans="1:8" x14ac:dyDescent="0.3">
      <c r="A692">
        <f t="shared" si="9"/>
        <v>632</v>
      </c>
      <c r="B692">
        <v>13107503.313475534</v>
      </c>
      <c r="C692">
        <v>120002.34293038271</v>
      </c>
      <c r="D692">
        <v>265.88899888736034</v>
      </c>
      <c r="E692">
        <v>110.67845879869709</v>
      </c>
      <c r="F692">
        <v>3.6284185431718088</v>
      </c>
      <c r="G692">
        <v>8.5079351129619738</v>
      </c>
      <c r="H692">
        <v>1.010368787087168</v>
      </c>
    </row>
    <row r="693" spans="1:8" x14ac:dyDescent="0.3">
      <c r="A693">
        <f t="shared" si="9"/>
        <v>633</v>
      </c>
      <c r="B693">
        <v>18495861.980644815</v>
      </c>
      <c r="C693">
        <v>120003.53054662723</v>
      </c>
      <c r="D693">
        <v>231.79747642959785</v>
      </c>
      <c r="E693">
        <v>90.787711148642856</v>
      </c>
      <c r="F693">
        <v>5.9952770100083344</v>
      </c>
      <c r="G693">
        <v>12.757733750751719</v>
      </c>
      <c r="H693">
        <v>1.0934705855456952</v>
      </c>
    </row>
    <row r="694" spans="1:8" x14ac:dyDescent="0.3">
      <c r="A694">
        <f t="shared" si="9"/>
        <v>634</v>
      </c>
      <c r="B694">
        <v>15442635.452945545</v>
      </c>
      <c r="C694">
        <v>120000.64181392551</v>
      </c>
      <c r="D694">
        <v>226.64457832118254</v>
      </c>
      <c r="E694">
        <v>130.88613132706928</v>
      </c>
      <c r="F694">
        <v>2.7437131467532807</v>
      </c>
      <c r="G694">
        <v>6.3103318484049069</v>
      </c>
      <c r="H694">
        <v>1.0508457758973997</v>
      </c>
    </row>
    <row r="695" spans="1:8" x14ac:dyDescent="0.3">
      <c r="A695">
        <f t="shared" si="9"/>
        <v>635</v>
      </c>
      <c r="B695">
        <v>23294617.548465841</v>
      </c>
      <c r="C695">
        <v>120003.28013060283</v>
      </c>
      <c r="D695">
        <v>174.22587012453442</v>
      </c>
      <c r="E695">
        <v>107.86391176304063</v>
      </c>
      <c r="F695">
        <v>6.1062172221495228</v>
      </c>
      <c r="G695">
        <v>10.554836115850062</v>
      </c>
      <c r="H695">
        <v>1.1204242158392663</v>
      </c>
    </row>
    <row r="696" spans="1:8" x14ac:dyDescent="0.3">
      <c r="A696">
        <f t="shared" si="9"/>
        <v>636</v>
      </c>
      <c r="B696">
        <v>23544573.810323864</v>
      </c>
      <c r="C696">
        <v>120000.3003327452</v>
      </c>
      <c r="D696">
        <v>193.32764128338269</v>
      </c>
      <c r="E696">
        <v>84.617223934107798</v>
      </c>
      <c r="F696">
        <v>7.7055865219185762</v>
      </c>
      <c r="G696">
        <v>14.726860782768377</v>
      </c>
      <c r="H696">
        <v>1.1125486928367605</v>
      </c>
    </row>
    <row r="697" spans="1:8" x14ac:dyDescent="0.3">
      <c r="A697">
        <f t="shared" si="9"/>
        <v>637</v>
      </c>
      <c r="B697">
        <v>19973937.702266544</v>
      </c>
      <c r="C697">
        <v>119996.99235965127</v>
      </c>
      <c r="D697">
        <v>215.28852763780844</v>
      </c>
      <c r="E697">
        <v>94.285403438164479</v>
      </c>
      <c r="F697">
        <v>5.7532408269689448</v>
      </c>
      <c r="G697">
        <v>8.9736484410839807</v>
      </c>
      <c r="H697">
        <v>0.80144963986126838</v>
      </c>
    </row>
    <row r="698" spans="1:8" x14ac:dyDescent="0.3">
      <c r="A698">
        <f t="shared" si="9"/>
        <v>638</v>
      </c>
      <c r="B698">
        <v>37312546.975570649</v>
      </c>
      <c r="C698">
        <v>119998.26720094566</v>
      </c>
      <c r="D698">
        <v>108.02483481022313</v>
      </c>
      <c r="E698">
        <v>55.942987939223372</v>
      </c>
      <c r="F698">
        <v>6.5960105522023067</v>
      </c>
      <c r="G698">
        <v>7.9029141569893788</v>
      </c>
      <c r="H698">
        <v>0.80086719879138246</v>
      </c>
    </row>
    <row r="699" spans="1:8" x14ac:dyDescent="0.3">
      <c r="A699">
        <f t="shared" si="9"/>
        <v>639</v>
      </c>
      <c r="B699">
        <v>17694888.881356835</v>
      </c>
      <c r="C699">
        <v>120006.59197271369</v>
      </c>
      <c r="D699">
        <v>235.92076728900884</v>
      </c>
      <c r="E699">
        <v>96.858021645701996</v>
      </c>
      <c r="F699">
        <v>4.6913791603431836</v>
      </c>
      <c r="G699">
        <v>10.011719653244555</v>
      </c>
      <c r="H699">
        <v>0.91683257991121447</v>
      </c>
    </row>
    <row r="700" spans="1:8" x14ac:dyDescent="0.3">
      <c r="A700">
        <f t="shared" si="9"/>
        <v>640</v>
      </c>
      <c r="B700">
        <v>19959397.584968992</v>
      </c>
      <c r="C700">
        <v>120000.03148851531</v>
      </c>
      <c r="D700">
        <v>164.91442784271752</v>
      </c>
      <c r="E700">
        <v>148.81614621321478</v>
      </c>
      <c r="F700">
        <v>8.1884387496197135</v>
      </c>
      <c r="G700">
        <v>8.2537362818427553</v>
      </c>
      <c r="H700">
        <v>1.1328731213646432</v>
      </c>
    </row>
    <row r="701" spans="1:8" x14ac:dyDescent="0.3">
      <c r="A701">
        <f t="shared" si="9"/>
        <v>641</v>
      </c>
      <c r="B701">
        <v>18082308.828964382</v>
      </c>
      <c r="C701">
        <v>120004.24464610068</v>
      </c>
      <c r="D701">
        <v>228.32382459826579</v>
      </c>
      <c r="E701">
        <v>96.872843021497502</v>
      </c>
      <c r="F701">
        <v>5.5480904161161169</v>
      </c>
      <c r="G701">
        <v>13.835461794227115</v>
      </c>
      <c r="H701">
        <v>1.0175442946426556</v>
      </c>
    </row>
    <row r="702" spans="1:8" x14ac:dyDescent="0.3">
      <c r="A702">
        <f t="shared" si="9"/>
        <v>642</v>
      </c>
      <c r="B702">
        <v>29910011.320251673</v>
      </c>
      <c r="C702">
        <v>120000.32479679423</v>
      </c>
      <c r="D702">
        <v>136.31597975144186</v>
      </c>
      <c r="E702">
        <v>90.901253993672498</v>
      </c>
      <c r="F702">
        <v>5.2415502743227407</v>
      </c>
      <c r="G702">
        <v>11.527517016096123</v>
      </c>
      <c r="H702">
        <v>1.0142862990338632</v>
      </c>
    </row>
    <row r="703" spans="1:8" x14ac:dyDescent="0.3">
      <c r="A703">
        <f t="shared" ref="A703:A766" si="10">A702+1</f>
        <v>643</v>
      </c>
      <c r="B703">
        <v>16122054.119547531</v>
      </c>
      <c r="C703">
        <v>119994.21137476903</v>
      </c>
      <c r="D703">
        <v>243.05091236398872</v>
      </c>
      <c r="E703">
        <v>100.38484026305943</v>
      </c>
      <c r="F703">
        <v>6.8233131934615479</v>
      </c>
      <c r="G703">
        <v>7.8473980501180005</v>
      </c>
      <c r="H703">
        <v>1.0895673413033764</v>
      </c>
    </row>
    <row r="704" spans="1:8" x14ac:dyDescent="0.3">
      <c r="A704">
        <f t="shared" si="10"/>
        <v>644</v>
      </c>
      <c r="B704">
        <v>15738350.953308739</v>
      </c>
      <c r="C704">
        <v>120001.4018586623</v>
      </c>
      <c r="D704">
        <v>223.66419653677349</v>
      </c>
      <c r="E704">
        <v>121.51004974425335</v>
      </c>
      <c r="F704">
        <v>5.9961615664536296</v>
      </c>
      <c r="G704">
        <v>13.844551807511465</v>
      </c>
      <c r="H704">
        <v>1.1184436794040018</v>
      </c>
    </row>
    <row r="705" spans="1:8" x14ac:dyDescent="0.3">
      <c r="A705">
        <f t="shared" si="10"/>
        <v>645</v>
      </c>
      <c r="B705">
        <v>14131248.815549925</v>
      </c>
      <c r="C705">
        <v>59999.491406389825</v>
      </c>
      <c r="D705">
        <v>150.00289084674915</v>
      </c>
      <c r="E705">
        <v>87.57455236076882</v>
      </c>
      <c r="F705">
        <v>3.3132264336215043</v>
      </c>
      <c r="G705">
        <v>12.525224072346735</v>
      </c>
      <c r="H705">
        <v>0.93159704132143717</v>
      </c>
    </row>
    <row r="706" spans="1:8" x14ac:dyDescent="0.3">
      <c r="A706">
        <f t="shared" si="10"/>
        <v>646</v>
      </c>
      <c r="B706">
        <v>24414576.111478288</v>
      </c>
      <c r="C706">
        <v>120000.3910898187</v>
      </c>
      <c r="D706">
        <v>209.22643521138295</v>
      </c>
      <c r="E706">
        <v>65.684440429677153</v>
      </c>
      <c r="F706">
        <v>5.9190097881561732</v>
      </c>
      <c r="G706">
        <v>6.9202273556031564</v>
      </c>
      <c r="H706">
        <v>0.92026421506658829</v>
      </c>
    </row>
    <row r="707" spans="1:8" x14ac:dyDescent="0.3">
      <c r="A707">
        <f t="shared" si="10"/>
        <v>647</v>
      </c>
      <c r="B707">
        <v>4551899.4928470217</v>
      </c>
      <c r="C707">
        <v>59999.628765783906</v>
      </c>
      <c r="D707">
        <v>288.95178158830402</v>
      </c>
      <c r="E707">
        <v>119.35614162787633</v>
      </c>
      <c r="F707">
        <v>1.8816379810703974</v>
      </c>
      <c r="G707">
        <v>9.715902697305383</v>
      </c>
      <c r="H707">
        <v>1.1432265552630931</v>
      </c>
    </row>
    <row r="708" spans="1:8" x14ac:dyDescent="0.3">
      <c r="A708">
        <f t="shared" si="10"/>
        <v>648</v>
      </c>
      <c r="B708">
        <v>22805385.069129311</v>
      </c>
      <c r="C708">
        <v>119996.31214203453</v>
      </c>
      <c r="D708">
        <v>166.25865291065477</v>
      </c>
      <c r="E708">
        <v>116.65142547104767</v>
      </c>
      <c r="F708">
        <v>8.0500606677625264</v>
      </c>
      <c r="G708">
        <v>12.166019258868044</v>
      </c>
      <c r="H708">
        <v>0.87649309179486989</v>
      </c>
    </row>
    <row r="709" spans="1:8" x14ac:dyDescent="0.3">
      <c r="A709">
        <f t="shared" si="10"/>
        <v>649</v>
      </c>
      <c r="B709">
        <v>19389739.8744094</v>
      </c>
      <c r="C709">
        <v>120004.41909056214</v>
      </c>
      <c r="D709">
        <v>218.99578059206746</v>
      </c>
      <c r="E709">
        <v>104.93270929057118</v>
      </c>
      <c r="F709">
        <v>2.4812422118568587</v>
      </c>
      <c r="G709">
        <v>8.9420916733355824</v>
      </c>
      <c r="H709">
        <v>1.1190759994060524</v>
      </c>
    </row>
    <row r="710" spans="1:8" x14ac:dyDescent="0.3">
      <c r="A710">
        <f t="shared" si="10"/>
        <v>650</v>
      </c>
      <c r="B710">
        <v>22994646.08272554</v>
      </c>
      <c r="C710">
        <v>119998.95566224975</v>
      </c>
      <c r="D710">
        <v>159.44629628233938</v>
      </c>
      <c r="E710">
        <v>118.53171055432912</v>
      </c>
      <c r="F710">
        <v>7.4681416039009223</v>
      </c>
      <c r="G710">
        <v>11.881072168740134</v>
      </c>
      <c r="H710">
        <v>0.81030515571433681</v>
      </c>
    </row>
    <row r="711" spans="1:8" x14ac:dyDescent="0.3">
      <c r="A711">
        <f t="shared" si="10"/>
        <v>651</v>
      </c>
      <c r="B711">
        <v>32625597.512198735</v>
      </c>
      <c r="C711">
        <v>120000.33388642293</v>
      </c>
      <c r="D711">
        <v>85.989966733337269</v>
      </c>
      <c r="E711">
        <v>126.72878478737854</v>
      </c>
      <c r="F711">
        <v>0.43118619118235646</v>
      </c>
      <c r="G711">
        <v>9.4447344521990395</v>
      </c>
      <c r="H711">
        <v>0.80543597465122252</v>
      </c>
    </row>
    <row r="712" spans="1:8" x14ac:dyDescent="0.3">
      <c r="A712">
        <f t="shared" si="10"/>
        <v>652</v>
      </c>
      <c r="B712">
        <v>14406225.492779776</v>
      </c>
      <c r="C712">
        <v>119997.18753234888</v>
      </c>
      <c r="D712">
        <v>252.18112697335255</v>
      </c>
      <c r="E712">
        <v>103.94088715528144</v>
      </c>
      <c r="F712">
        <v>5.5815169300880063</v>
      </c>
      <c r="G712">
        <v>14.740299111339205</v>
      </c>
      <c r="H712">
        <v>1.1175812837449777</v>
      </c>
    </row>
    <row r="713" spans="1:8" x14ac:dyDescent="0.3">
      <c r="A713">
        <f t="shared" si="10"/>
        <v>653</v>
      </c>
      <c r="B713">
        <v>33185747.13885266</v>
      </c>
      <c r="C713">
        <v>120002.34894528986</v>
      </c>
      <c r="D713">
        <v>104.02723044412183</v>
      </c>
      <c r="E713">
        <v>94.436642006948247</v>
      </c>
      <c r="F713">
        <v>4.7714815214681501</v>
      </c>
      <c r="G713">
        <v>5.2981534915921795</v>
      </c>
      <c r="H713">
        <v>0.94168503825182648</v>
      </c>
    </row>
    <row r="714" spans="1:8" x14ac:dyDescent="0.3">
      <c r="A714">
        <f t="shared" si="10"/>
        <v>654</v>
      </c>
      <c r="B714">
        <v>17420244.779534534</v>
      </c>
      <c r="C714">
        <v>119996.12535288166</v>
      </c>
      <c r="D714">
        <v>197.26707524617797</v>
      </c>
      <c r="E714">
        <v>138.86555667603571</v>
      </c>
      <c r="F714">
        <v>4.3776714997230677</v>
      </c>
      <c r="G714">
        <v>11.351843757985854</v>
      </c>
      <c r="H714">
        <v>1.0335083926889408</v>
      </c>
    </row>
    <row r="715" spans="1:8" x14ac:dyDescent="0.3">
      <c r="A715">
        <f t="shared" si="10"/>
        <v>655</v>
      </c>
      <c r="B715">
        <v>23008022.897830069</v>
      </c>
      <c r="C715">
        <v>119998.775630287</v>
      </c>
      <c r="D715">
        <v>168.62942715212066</v>
      </c>
      <c r="E715">
        <v>110.44012670252853</v>
      </c>
      <c r="F715">
        <v>5.5998740774377245</v>
      </c>
      <c r="G715">
        <v>12.622264513276379</v>
      </c>
      <c r="H715">
        <v>0.92416633811237969</v>
      </c>
    </row>
    <row r="716" spans="1:8" x14ac:dyDescent="0.3">
      <c r="A716">
        <f t="shared" si="10"/>
        <v>656</v>
      </c>
      <c r="B716">
        <v>12773912.353748649</v>
      </c>
      <c r="C716">
        <v>120005.88594256679</v>
      </c>
      <c r="D716">
        <v>286.1020108118791</v>
      </c>
      <c r="E716">
        <v>88.430397322372514</v>
      </c>
      <c r="F716">
        <v>4.8942333634767721</v>
      </c>
      <c r="G716">
        <v>11.499530856972237</v>
      </c>
      <c r="H716">
        <v>1.0690918513442149</v>
      </c>
    </row>
    <row r="717" spans="1:8" x14ac:dyDescent="0.3">
      <c r="A717">
        <f t="shared" si="10"/>
        <v>657</v>
      </c>
      <c r="B717">
        <v>19149910.905055575</v>
      </c>
      <c r="C717">
        <v>119998.10604677042</v>
      </c>
      <c r="D717">
        <v>225.53163361141301</v>
      </c>
      <c r="E717">
        <v>103.23979376705734</v>
      </c>
      <c r="F717">
        <v>0</v>
      </c>
      <c r="G717">
        <v>5.3050414393820464</v>
      </c>
      <c r="H717">
        <v>1.0512484439364997</v>
      </c>
    </row>
    <row r="718" spans="1:8" x14ac:dyDescent="0.3">
      <c r="A718">
        <f t="shared" si="10"/>
        <v>658</v>
      </c>
      <c r="B718">
        <v>22557707.166979857</v>
      </c>
      <c r="C718">
        <v>120000.83239956043</v>
      </c>
      <c r="D718">
        <v>180.61895201559247</v>
      </c>
      <c r="E718">
        <v>111.10234056944715</v>
      </c>
      <c r="F718">
        <v>4.496702707823677</v>
      </c>
      <c r="G718">
        <v>10.82073882822438</v>
      </c>
      <c r="H718">
        <v>0.90715189341918134</v>
      </c>
    </row>
    <row r="719" spans="1:8" x14ac:dyDescent="0.3">
      <c r="A719">
        <f t="shared" si="10"/>
        <v>659</v>
      </c>
      <c r="B719">
        <v>21570169.345944837</v>
      </c>
      <c r="C719">
        <v>119995.987425488</v>
      </c>
      <c r="D719">
        <v>217.28602470727864</v>
      </c>
      <c r="E719">
        <v>78.599428538364549</v>
      </c>
      <c r="F719">
        <v>7.6380492724397184</v>
      </c>
      <c r="G719">
        <v>9.1845033819381907</v>
      </c>
      <c r="H719">
        <v>1.012367910180586</v>
      </c>
    </row>
    <row r="720" spans="1:8" x14ac:dyDescent="0.3">
      <c r="A720">
        <f t="shared" si="10"/>
        <v>660</v>
      </c>
      <c r="B720">
        <v>19879855.976235934</v>
      </c>
      <c r="C720">
        <v>119997.27956107758</v>
      </c>
      <c r="D720">
        <v>251.52491618159169</v>
      </c>
      <c r="E720">
        <v>62.44762124068118</v>
      </c>
      <c r="F720">
        <v>3.5184542008126831</v>
      </c>
      <c r="G720">
        <v>9.9892964296678812</v>
      </c>
      <c r="H720">
        <v>0.9336007705357019</v>
      </c>
    </row>
    <row r="721" spans="1:8" x14ac:dyDescent="0.3">
      <c r="A721">
        <f t="shared" si="10"/>
        <v>661</v>
      </c>
      <c r="B721">
        <v>19153764.043678768</v>
      </c>
      <c r="C721">
        <v>120003.79892198471</v>
      </c>
      <c r="D721">
        <v>203.20846547166448</v>
      </c>
      <c r="E721">
        <v>111.21298486016623</v>
      </c>
      <c r="F721">
        <v>8.308452446059988</v>
      </c>
      <c r="G721">
        <v>8.6237602558299216</v>
      </c>
      <c r="H721">
        <v>1.0931189760940834</v>
      </c>
    </row>
    <row r="722" spans="1:8" x14ac:dyDescent="0.3">
      <c r="A722">
        <f t="shared" si="10"/>
        <v>662</v>
      </c>
      <c r="B722">
        <v>13998966.700702682</v>
      </c>
      <c r="C722">
        <v>119997.57442797802</v>
      </c>
      <c r="D722">
        <v>241.56741146114729</v>
      </c>
      <c r="E722">
        <v>126.48850956911775</v>
      </c>
      <c r="F722">
        <v>1.4103738998755411</v>
      </c>
      <c r="G722">
        <v>9.9746296744000968</v>
      </c>
      <c r="H722">
        <v>1.175583608403453</v>
      </c>
    </row>
    <row r="723" spans="1:8" x14ac:dyDescent="0.3">
      <c r="A723">
        <f t="shared" si="10"/>
        <v>663</v>
      </c>
      <c r="B723">
        <v>13043952.66429281</v>
      </c>
      <c r="C723">
        <v>59998.272560170517</v>
      </c>
      <c r="D723">
        <v>174.90166855718991</v>
      </c>
      <c r="E723">
        <v>81.239070231855905</v>
      </c>
      <c r="F723">
        <v>4.716512127612118</v>
      </c>
      <c r="G723">
        <v>11.137843116642166</v>
      </c>
      <c r="H723">
        <v>0.95721981653545862</v>
      </c>
    </row>
    <row r="724" spans="1:8" x14ac:dyDescent="0.3">
      <c r="A724">
        <f t="shared" si="10"/>
        <v>664</v>
      </c>
      <c r="B724">
        <v>22042586.614679486</v>
      </c>
      <c r="C724">
        <v>120003.22470269658</v>
      </c>
      <c r="D724">
        <v>215.26370251592812</v>
      </c>
      <c r="E724">
        <v>85.603796862789181</v>
      </c>
      <c r="F724">
        <v>3.5234965213408116</v>
      </c>
      <c r="G724">
        <v>7.5569306354898549</v>
      </c>
      <c r="H724">
        <v>0.96278552690676444</v>
      </c>
    </row>
    <row r="725" spans="1:8" x14ac:dyDescent="0.3">
      <c r="A725">
        <f t="shared" si="10"/>
        <v>665</v>
      </c>
      <c r="B725">
        <v>16152199.140856668</v>
      </c>
      <c r="C725">
        <v>120002.70641539928</v>
      </c>
      <c r="D725">
        <v>260.49127124409915</v>
      </c>
      <c r="E725">
        <v>79.890352102002311</v>
      </c>
      <c r="F725">
        <v>8.141193175311642</v>
      </c>
      <c r="G725">
        <v>10.771551051305854</v>
      </c>
      <c r="H725">
        <v>1.0047583502907877</v>
      </c>
    </row>
    <row r="726" spans="1:8" x14ac:dyDescent="0.3">
      <c r="A726">
        <f t="shared" si="10"/>
        <v>666</v>
      </c>
      <c r="B726">
        <v>21374100.522905834</v>
      </c>
      <c r="C726">
        <v>119993.56733967277</v>
      </c>
      <c r="D726">
        <v>202.56734058858524</v>
      </c>
      <c r="E726">
        <v>100.24702451208344</v>
      </c>
      <c r="F726">
        <v>4.1750864595001307</v>
      </c>
      <c r="G726">
        <v>10.000626272497762</v>
      </c>
      <c r="H726">
        <v>0.980544129884515</v>
      </c>
    </row>
    <row r="727" spans="1:8" x14ac:dyDescent="0.3">
      <c r="A727">
        <f t="shared" si="10"/>
        <v>667</v>
      </c>
      <c r="B727">
        <v>20531738.24968984</v>
      </c>
      <c r="C727">
        <v>119998.71998899918</v>
      </c>
      <c r="D727">
        <v>219.38853270786851</v>
      </c>
      <c r="E727">
        <v>91.824297959089563</v>
      </c>
      <c r="F727">
        <v>3.531022608477318</v>
      </c>
      <c r="G727">
        <v>5.0713135299381245</v>
      </c>
      <c r="H727">
        <v>0.95848771566970803</v>
      </c>
    </row>
    <row r="728" spans="1:8" x14ac:dyDescent="0.3">
      <c r="A728">
        <f t="shared" si="10"/>
        <v>668</v>
      </c>
      <c r="B728">
        <v>20165331.105630688</v>
      </c>
      <c r="C728">
        <v>120002.25559597199</v>
      </c>
      <c r="D728">
        <v>204.74092769571297</v>
      </c>
      <c r="E728">
        <v>99.622074959469458</v>
      </c>
      <c r="F728">
        <v>5.6743081566263838</v>
      </c>
      <c r="G728">
        <v>12.437675106444388</v>
      </c>
      <c r="H728">
        <v>1.0413230237766924</v>
      </c>
    </row>
    <row r="729" spans="1:8" x14ac:dyDescent="0.3">
      <c r="A729">
        <f t="shared" si="10"/>
        <v>669</v>
      </c>
      <c r="B729">
        <v>19947485.352410331</v>
      </c>
      <c r="C729">
        <v>119996.61131149164</v>
      </c>
      <c r="D729">
        <v>195.46918126020714</v>
      </c>
      <c r="E729">
        <v>125.05069362212141</v>
      </c>
      <c r="F729">
        <v>1.8727799480680094</v>
      </c>
      <c r="G729">
        <v>7.0291426860240964</v>
      </c>
      <c r="H729">
        <v>1.1232683106723262</v>
      </c>
    </row>
    <row r="730" spans="1:8" x14ac:dyDescent="0.3">
      <c r="A730">
        <f t="shared" si="10"/>
        <v>670</v>
      </c>
      <c r="B730">
        <v>20570183.748990454</v>
      </c>
      <c r="C730">
        <v>120003.97513557383</v>
      </c>
      <c r="D730">
        <v>210.07042913554247</v>
      </c>
      <c r="E730">
        <v>92.149036128905692</v>
      </c>
      <c r="F730">
        <v>8.1587241760709759</v>
      </c>
      <c r="G730">
        <v>11.076325826022881</v>
      </c>
      <c r="H730">
        <v>1.0523855911011073</v>
      </c>
    </row>
    <row r="731" spans="1:8" x14ac:dyDescent="0.3">
      <c r="A731">
        <f t="shared" si="10"/>
        <v>671</v>
      </c>
      <c r="B731">
        <v>15459334.503377192</v>
      </c>
      <c r="C731">
        <v>120000.52067352722</v>
      </c>
      <c r="D731">
        <v>247.93894409909001</v>
      </c>
      <c r="E731">
        <v>101.14027159852196</v>
      </c>
      <c r="F731">
        <v>7.2017994925192248</v>
      </c>
      <c r="G731">
        <v>9.0434107257965177</v>
      </c>
      <c r="H731">
        <v>0.95455676504838605</v>
      </c>
    </row>
    <row r="732" spans="1:8" x14ac:dyDescent="0.3">
      <c r="A732">
        <f t="shared" si="10"/>
        <v>672</v>
      </c>
      <c r="B732">
        <v>23765528.881792463</v>
      </c>
      <c r="C732">
        <v>119990.89183826142</v>
      </c>
      <c r="D732">
        <v>180.26104957494658</v>
      </c>
      <c r="E732">
        <v>95.532413451116454</v>
      </c>
      <c r="F732">
        <v>8.368936129916495</v>
      </c>
      <c r="G732">
        <v>9.4731985410354191</v>
      </c>
      <c r="H732">
        <v>1.1982227007419426</v>
      </c>
    </row>
    <row r="733" spans="1:8" x14ac:dyDescent="0.3">
      <c r="A733">
        <f t="shared" si="10"/>
        <v>673</v>
      </c>
      <c r="B733">
        <v>20225129.992855564</v>
      </c>
      <c r="C733">
        <v>119999.52392013061</v>
      </c>
      <c r="D733">
        <v>212.01969937497955</v>
      </c>
      <c r="E733">
        <v>101.37530952274673</v>
      </c>
      <c r="F733">
        <v>4.0230775986084177</v>
      </c>
      <c r="G733">
        <v>11.109258405943431</v>
      </c>
      <c r="H733">
        <v>1.1140414552218694</v>
      </c>
    </row>
    <row r="734" spans="1:8" x14ac:dyDescent="0.3">
      <c r="A734">
        <f t="shared" si="10"/>
        <v>674</v>
      </c>
      <c r="B734">
        <v>26165890.376482964</v>
      </c>
      <c r="C734">
        <v>120000.71342957977</v>
      </c>
      <c r="D734">
        <v>168.18446459298636</v>
      </c>
      <c r="E734">
        <v>93.152511827781751</v>
      </c>
      <c r="F734">
        <v>3.524351462682811</v>
      </c>
      <c r="G734">
        <v>8.3184363067333518</v>
      </c>
      <c r="H734">
        <v>0.8050516424437113</v>
      </c>
    </row>
    <row r="735" spans="1:8" x14ac:dyDescent="0.3">
      <c r="A735">
        <f t="shared" si="10"/>
        <v>675</v>
      </c>
      <c r="B735">
        <v>10469435.914069317</v>
      </c>
      <c r="C735">
        <v>120001.268063015</v>
      </c>
      <c r="D735">
        <v>283.21619678790614</v>
      </c>
      <c r="E735">
        <v>108.36294418794365</v>
      </c>
      <c r="F735">
        <v>4.8909083879879605</v>
      </c>
      <c r="G735">
        <v>12.702037411530551</v>
      </c>
      <c r="H735">
        <v>1.0557998843088063</v>
      </c>
    </row>
    <row r="736" spans="1:8" x14ac:dyDescent="0.3">
      <c r="A736">
        <f t="shared" si="10"/>
        <v>676</v>
      </c>
      <c r="B736">
        <v>15530051.996118456</v>
      </c>
      <c r="C736">
        <v>119999.27362998559</v>
      </c>
      <c r="D736">
        <v>262.17537881992962</v>
      </c>
      <c r="E736">
        <v>87.91542648506389</v>
      </c>
      <c r="F736">
        <v>5.5728769968209049</v>
      </c>
      <c r="G736">
        <v>11.398045914916612</v>
      </c>
      <c r="H736">
        <v>1.2555835708134979</v>
      </c>
    </row>
    <row r="737" spans="1:8" x14ac:dyDescent="0.3">
      <c r="A737">
        <f t="shared" si="10"/>
        <v>677</v>
      </c>
      <c r="B737">
        <v>31274475.029411893</v>
      </c>
      <c r="C737">
        <v>119993.30457500264</v>
      </c>
      <c r="D737">
        <v>130.70039823554933</v>
      </c>
      <c r="E737">
        <v>86.98008039570891</v>
      </c>
      <c r="F737">
        <v>3.7510564194219476</v>
      </c>
      <c r="G737">
        <v>11.712035971792089</v>
      </c>
      <c r="H737">
        <v>0.9761152651109809</v>
      </c>
    </row>
    <row r="738" spans="1:8" x14ac:dyDescent="0.3">
      <c r="A738">
        <f t="shared" si="10"/>
        <v>678</v>
      </c>
      <c r="B738">
        <v>25586240.729454841</v>
      </c>
      <c r="C738">
        <v>119996.04937789675</v>
      </c>
      <c r="D738">
        <v>157.07769184489726</v>
      </c>
      <c r="E738">
        <v>108.65560333185975</v>
      </c>
      <c r="F738">
        <v>5.9930305191453668</v>
      </c>
      <c r="G738">
        <v>5.0859575244293858</v>
      </c>
      <c r="H738">
        <v>0.95436459112018013</v>
      </c>
    </row>
    <row r="739" spans="1:8" x14ac:dyDescent="0.3">
      <c r="A739">
        <f t="shared" si="10"/>
        <v>679</v>
      </c>
      <c r="B739">
        <v>31027900.635014899</v>
      </c>
      <c r="C739">
        <v>120004.15708369446</v>
      </c>
      <c r="D739">
        <v>131.23687603712349</v>
      </c>
      <c r="E739">
        <v>92.471480555381717</v>
      </c>
      <c r="F739">
        <v>0</v>
      </c>
      <c r="G739">
        <v>12.032992593494205</v>
      </c>
      <c r="H739">
        <v>0.89175869217861525</v>
      </c>
    </row>
    <row r="740" spans="1:8" x14ac:dyDescent="0.3">
      <c r="A740">
        <f t="shared" si="10"/>
        <v>680</v>
      </c>
      <c r="B740">
        <v>20958148.140750304</v>
      </c>
      <c r="C740">
        <v>120002.2987811745</v>
      </c>
      <c r="D740">
        <v>220.50337115279615</v>
      </c>
      <c r="E740">
        <v>81.77981919243561</v>
      </c>
      <c r="F740">
        <v>9.5869487706100998</v>
      </c>
      <c r="G740">
        <v>8.9529565469850727</v>
      </c>
      <c r="H740">
        <v>1.0044930903348008</v>
      </c>
    </row>
    <row r="741" spans="1:8" x14ac:dyDescent="0.3">
      <c r="A741">
        <f t="shared" si="10"/>
        <v>681</v>
      </c>
      <c r="B741">
        <v>19290349.661499441</v>
      </c>
      <c r="C741">
        <v>119996.18028683284</v>
      </c>
      <c r="D741">
        <v>224.33280363255022</v>
      </c>
      <c r="E741">
        <v>94.615108167774565</v>
      </c>
      <c r="F741">
        <v>6.7078686403070673</v>
      </c>
      <c r="G741">
        <v>8.9529625913982898</v>
      </c>
      <c r="H741">
        <v>1.0549869433538042</v>
      </c>
    </row>
    <row r="742" spans="1:8" x14ac:dyDescent="0.3">
      <c r="A742">
        <f t="shared" si="10"/>
        <v>682</v>
      </c>
      <c r="B742">
        <v>21719553.274090022</v>
      </c>
      <c r="C742">
        <v>119999.83124638851</v>
      </c>
      <c r="D742">
        <v>163.86713623443839</v>
      </c>
      <c r="E742">
        <v>138.13741038743075</v>
      </c>
      <c r="F742">
        <v>5.0783542119246192</v>
      </c>
      <c r="G742">
        <v>6.2640063663617713</v>
      </c>
      <c r="H742">
        <v>1.0852888446865887</v>
      </c>
    </row>
    <row r="743" spans="1:8" x14ac:dyDescent="0.3">
      <c r="A743">
        <f t="shared" si="10"/>
        <v>683</v>
      </c>
      <c r="B743">
        <v>25599633.10720269</v>
      </c>
      <c r="C743">
        <v>120000.75168400044</v>
      </c>
      <c r="D743">
        <v>149.55870976154185</v>
      </c>
      <c r="E743">
        <v>116.19704988559342</v>
      </c>
      <c r="F743">
        <v>6.6089923051485586</v>
      </c>
      <c r="G743">
        <v>7.4151745632445198</v>
      </c>
      <c r="H743">
        <v>0.94293496522054143</v>
      </c>
    </row>
    <row r="744" spans="1:8" x14ac:dyDescent="0.3">
      <c r="A744">
        <f t="shared" si="10"/>
        <v>684</v>
      </c>
      <c r="B744">
        <v>16367809.968776666</v>
      </c>
      <c r="C744">
        <v>119999.00553813254</v>
      </c>
      <c r="D744">
        <v>243.72069052416271</v>
      </c>
      <c r="E744">
        <v>97.243722034216859</v>
      </c>
      <c r="F744">
        <v>4.8706096733333837</v>
      </c>
      <c r="G744">
        <v>14.789453771305368</v>
      </c>
      <c r="H744">
        <v>0.98978901020900267</v>
      </c>
    </row>
    <row r="745" spans="1:8" x14ac:dyDescent="0.3">
      <c r="A745">
        <f t="shared" si="10"/>
        <v>685</v>
      </c>
      <c r="B745">
        <v>26839304.414622743</v>
      </c>
      <c r="C745">
        <v>119996.22839486138</v>
      </c>
      <c r="D745">
        <v>163.14683510563685</v>
      </c>
      <c r="E745">
        <v>92.734373119441358</v>
      </c>
      <c r="F745">
        <v>5.4272260209015695</v>
      </c>
      <c r="G745">
        <v>5.9302416410793075</v>
      </c>
      <c r="H745">
        <v>1.2264957732599502</v>
      </c>
    </row>
    <row r="746" spans="1:8" x14ac:dyDescent="0.3">
      <c r="A746">
        <f t="shared" si="10"/>
        <v>686</v>
      </c>
      <c r="B746">
        <v>14316651.530531064</v>
      </c>
      <c r="C746">
        <v>120005.69368832624</v>
      </c>
      <c r="D746">
        <v>288.38014262161039</v>
      </c>
      <c r="E746">
        <v>74.294949234837986</v>
      </c>
      <c r="F746">
        <v>2.6306048757748277</v>
      </c>
      <c r="G746">
        <v>8.9324067023852827</v>
      </c>
      <c r="H746">
        <v>1.0855134811835832</v>
      </c>
    </row>
    <row r="747" spans="1:8" x14ac:dyDescent="0.3">
      <c r="A747">
        <f t="shared" si="10"/>
        <v>687</v>
      </c>
      <c r="B747">
        <v>35394511.5435085</v>
      </c>
      <c r="C747">
        <v>119998.35588890544</v>
      </c>
      <c r="D747">
        <v>95.843444144050764</v>
      </c>
      <c r="E747">
        <v>84.46841549744029</v>
      </c>
      <c r="F747">
        <v>3.9339429281313771</v>
      </c>
      <c r="G747">
        <v>6.9105337768042947</v>
      </c>
      <c r="H747">
        <v>0.96739702277931228</v>
      </c>
    </row>
    <row r="748" spans="1:8" x14ac:dyDescent="0.3">
      <c r="A748">
        <f t="shared" si="10"/>
        <v>688</v>
      </c>
      <c r="B748">
        <v>8097849.4969248399</v>
      </c>
      <c r="C748">
        <v>119998.71695042771</v>
      </c>
      <c r="D748">
        <v>286.43941524133101</v>
      </c>
      <c r="E748">
        <v>128.24539024663983</v>
      </c>
      <c r="F748">
        <v>2.7431991895536463</v>
      </c>
      <c r="G748">
        <v>10.890243298851981</v>
      </c>
      <c r="H748">
        <v>1.0251496608186945</v>
      </c>
    </row>
    <row r="749" spans="1:8" x14ac:dyDescent="0.3">
      <c r="A749">
        <f t="shared" si="10"/>
        <v>689</v>
      </c>
      <c r="B749">
        <v>22290418.080456063</v>
      </c>
      <c r="C749">
        <v>119995.61006139433</v>
      </c>
      <c r="D749">
        <v>195.17983347330059</v>
      </c>
      <c r="E749">
        <v>104.59433928623348</v>
      </c>
      <c r="F749">
        <v>5.2473765839013682</v>
      </c>
      <c r="G749">
        <v>5.7804405971896999</v>
      </c>
      <c r="H749">
        <v>0.85262696115340886</v>
      </c>
    </row>
    <row r="750" spans="1:8" x14ac:dyDescent="0.3">
      <c r="A750">
        <f t="shared" si="10"/>
        <v>690</v>
      </c>
      <c r="B750">
        <v>33210839.549814168</v>
      </c>
      <c r="C750">
        <v>120001.10599881886</v>
      </c>
      <c r="D750">
        <v>118.46815474482347</v>
      </c>
      <c r="E750">
        <v>87.181447827197204</v>
      </c>
      <c r="F750">
        <v>2.6174682439650594</v>
      </c>
      <c r="G750">
        <v>9.5867381484786325</v>
      </c>
      <c r="H750">
        <v>1.0199778227988541</v>
      </c>
    </row>
    <row r="751" spans="1:8" x14ac:dyDescent="0.3">
      <c r="A751">
        <f t="shared" si="10"/>
        <v>691</v>
      </c>
      <c r="B751">
        <v>29763390.356782783</v>
      </c>
      <c r="C751">
        <v>119998.54182804959</v>
      </c>
      <c r="D751">
        <v>148.58177936784793</v>
      </c>
      <c r="E751">
        <v>81.656059914729155</v>
      </c>
      <c r="F751">
        <v>2.8985924804120349</v>
      </c>
      <c r="G751">
        <v>12.362106335975682</v>
      </c>
      <c r="H751">
        <v>1.004500627323478</v>
      </c>
    </row>
    <row r="752" spans="1:8" x14ac:dyDescent="0.3">
      <c r="A752">
        <f t="shared" si="10"/>
        <v>692</v>
      </c>
      <c r="B752">
        <v>14661547.279340602</v>
      </c>
      <c r="C752">
        <v>119997.8763269886</v>
      </c>
      <c r="D752">
        <v>244.63902656535535</v>
      </c>
      <c r="E752">
        <v>120.37027666065359</v>
      </c>
      <c r="F752">
        <v>6.035345788461159</v>
      </c>
      <c r="G752">
        <v>1.3228258535362478</v>
      </c>
      <c r="H752">
        <v>1.0391684416699123</v>
      </c>
    </row>
    <row r="753" spans="1:8" x14ac:dyDescent="0.3">
      <c r="A753">
        <f t="shared" si="10"/>
        <v>693</v>
      </c>
      <c r="B753">
        <v>18503367.985994048</v>
      </c>
      <c r="C753">
        <v>119996.03160175572</v>
      </c>
      <c r="D753">
        <v>192.44466516531426</v>
      </c>
      <c r="E753">
        <v>121.1766589836144</v>
      </c>
      <c r="F753">
        <v>6.1335338328738933</v>
      </c>
      <c r="G753">
        <v>18.172408375083045</v>
      </c>
      <c r="H753">
        <v>0.85946304106428217</v>
      </c>
    </row>
    <row r="754" spans="1:8" x14ac:dyDescent="0.3">
      <c r="A754">
        <f t="shared" si="10"/>
        <v>694</v>
      </c>
      <c r="B754">
        <v>18415003.274422355</v>
      </c>
      <c r="C754">
        <v>119998.1449037359</v>
      </c>
      <c r="D754">
        <v>215.94721303352583</v>
      </c>
      <c r="E754">
        <v>102.01463441734364</v>
      </c>
      <c r="F754">
        <v>8.2848877270020367</v>
      </c>
      <c r="G754">
        <v>12.825852576855429</v>
      </c>
      <c r="H754">
        <v>0.85455747409512028</v>
      </c>
    </row>
    <row r="755" spans="1:8" x14ac:dyDescent="0.3">
      <c r="A755">
        <f t="shared" si="10"/>
        <v>695</v>
      </c>
      <c r="B755">
        <v>20221239.892753959</v>
      </c>
      <c r="C755">
        <v>120003.19982148455</v>
      </c>
      <c r="D755">
        <v>187.41291914443192</v>
      </c>
      <c r="E755">
        <v>127.05915069452031</v>
      </c>
      <c r="F755">
        <v>1.4568469843638869</v>
      </c>
      <c r="G755">
        <v>6.8396286395620454</v>
      </c>
      <c r="H755">
        <v>0.99935095568323029</v>
      </c>
    </row>
    <row r="756" spans="1:8" x14ac:dyDescent="0.3">
      <c r="A756">
        <f t="shared" si="10"/>
        <v>696</v>
      </c>
      <c r="B756">
        <v>24090511.718419082</v>
      </c>
      <c r="C756">
        <v>120003.15276483377</v>
      </c>
      <c r="D756">
        <v>201.40871197262624</v>
      </c>
      <c r="E756">
        <v>73.948886323604114</v>
      </c>
      <c r="F756">
        <v>8.3454638821289322</v>
      </c>
      <c r="G756">
        <v>11.990254086231062</v>
      </c>
      <c r="H756">
        <v>0.98444869666077772</v>
      </c>
    </row>
    <row r="757" spans="1:8" x14ac:dyDescent="0.3">
      <c r="A757">
        <f t="shared" si="10"/>
        <v>697</v>
      </c>
      <c r="B757">
        <v>30823120.257727157</v>
      </c>
      <c r="C757">
        <v>119999.06310776096</v>
      </c>
      <c r="D757">
        <v>115.9666845107495</v>
      </c>
      <c r="E757">
        <v>91.008868416722663</v>
      </c>
      <c r="F757">
        <v>7.2562248657036879</v>
      </c>
      <c r="G757">
        <v>19.469910437044334</v>
      </c>
      <c r="H757">
        <v>0.92807131719066782</v>
      </c>
    </row>
    <row r="758" spans="1:8" x14ac:dyDescent="0.3">
      <c r="A758">
        <f t="shared" si="10"/>
        <v>698</v>
      </c>
      <c r="B758">
        <v>15558604.125951953</v>
      </c>
      <c r="C758">
        <v>119998.27489811319</v>
      </c>
      <c r="D758">
        <v>252.50389352550633</v>
      </c>
      <c r="E758">
        <v>102.07683431589928</v>
      </c>
      <c r="F758">
        <v>4.7712913777107735</v>
      </c>
      <c r="G758">
        <v>7.8163765903930376</v>
      </c>
      <c r="H758">
        <v>1.058773053720891</v>
      </c>
    </row>
    <row r="759" spans="1:8" x14ac:dyDescent="0.3">
      <c r="A759">
        <f t="shared" si="10"/>
        <v>699</v>
      </c>
      <c r="B759">
        <v>27575037.195645321</v>
      </c>
      <c r="C759">
        <v>120006.35847342924</v>
      </c>
      <c r="D759">
        <v>148.28460190454845</v>
      </c>
      <c r="E759">
        <v>93.193447004411567</v>
      </c>
      <c r="F759">
        <v>7.5726203242066497</v>
      </c>
      <c r="G759">
        <v>12.37363564460655</v>
      </c>
      <c r="H759">
        <v>0.84596643266811589</v>
      </c>
    </row>
    <row r="760" spans="1:8" x14ac:dyDescent="0.3">
      <c r="A760">
        <f t="shared" si="10"/>
        <v>700</v>
      </c>
      <c r="B760">
        <v>25668380.489079989</v>
      </c>
      <c r="C760">
        <v>119998.62541240094</v>
      </c>
      <c r="D760">
        <v>146.28600091764031</v>
      </c>
      <c r="E760">
        <v>121.39024291589541</v>
      </c>
      <c r="F760">
        <v>2.7079083499256309</v>
      </c>
      <c r="G760">
        <v>11.853288312423965</v>
      </c>
      <c r="H760">
        <v>0.81837186488774172</v>
      </c>
    </row>
    <row r="761" spans="1:8" x14ac:dyDescent="0.3">
      <c r="A761">
        <f t="shared" si="10"/>
        <v>701</v>
      </c>
      <c r="B761">
        <v>9091794.7714211829</v>
      </c>
      <c r="C761">
        <v>59996.997227388427</v>
      </c>
      <c r="D761">
        <v>225.39677374379457</v>
      </c>
      <c r="E761">
        <v>104.99509742454592</v>
      </c>
      <c r="F761">
        <v>8.1182175353655293</v>
      </c>
      <c r="G761">
        <v>5.0988375291788213</v>
      </c>
      <c r="H761">
        <v>0.87478908503920028</v>
      </c>
    </row>
    <row r="762" spans="1:8" x14ac:dyDescent="0.3">
      <c r="A762">
        <f t="shared" si="10"/>
        <v>702</v>
      </c>
      <c r="B762">
        <v>28572921.012554761</v>
      </c>
      <c r="C762">
        <v>120003.17758647075</v>
      </c>
      <c r="D762">
        <v>135.38965126251017</v>
      </c>
      <c r="E762">
        <v>105.49933039903756</v>
      </c>
      <c r="F762">
        <v>4.1365482006289964</v>
      </c>
      <c r="G762">
        <v>11.336210780976721</v>
      </c>
      <c r="H762">
        <v>0.97214599204441698</v>
      </c>
    </row>
    <row r="763" spans="1:8" x14ac:dyDescent="0.3">
      <c r="A763">
        <f t="shared" si="10"/>
        <v>703</v>
      </c>
      <c r="B763">
        <v>28096392.682980701</v>
      </c>
      <c r="C763">
        <v>119999.28278236974</v>
      </c>
      <c r="D763">
        <v>158.49015009030282</v>
      </c>
      <c r="E763">
        <v>91.347649465110749</v>
      </c>
      <c r="F763">
        <v>4.7322486855894343</v>
      </c>
      <c r="G763">
        <v>5.582563007503385</v>
      </c>
      <c r="H763">
        <v>0.92249583629518606</v>
      </c>
    </row>
    <row r="764" spans="1:8" x14ac:dyDescent="0.3">
      <c r="A764">
        <f t="shared" si="10"/>
        <v>704</v>
      </c>
      <c r="B764">
        <v>21986184.188753955</v>
      </c>
      <c r="C764">
        <v>120004.18584664496</v>
      </c>
      <c r="D764">
        <v>203.91616997166284</v>
      </c>
      <c r="E764">
        <v>91.390969929175796</v>
      </c>
      <c r="F764">
        <v>7.252665425828539</v>
      </c>
      <c r="G764">
        <v>4.6119944830498749</v>
      </c>
      <c r="H764">
        <v>1.0366396071976192</v>
      </c>
    </row>
    <row r="765" spans="1:8" x14ac:dyDescent="0.3">
      <c r="A765">
        <f t="shared" si="10"/>
        <v>705</v>
      </c>
      <c r="B765">
        <v>22806172.226887539</v>
      </c>
      <c r="C765">
        <v>120001.61981310662</v>
      </c>
      <c r="D765">
        <v>176.47219149561693</v>
      </c>
      <c r="E765">
        <v>116.04061802308281</v>
      </c>
      <c r="F765">
        <v>4.3475351525537018</v>
      </c>
      <c r="G765">
        <v>6.8522629549966911</v>
      </c>
      <c r="H765">
        <v>0.9182942899343971</v>
      </c>
    </row>
    <row r="766" spans="1:8" x14ac:dyDescent="0.3">
      <c r="A766">
        <f t="shared" si="10"/>
        <v>706</v>
      </c>
      <c r="B766">
        <v>25997576.214222446</v>
      </c>
      <c r="C766">
        <v>120001.91245735614</v>
      </c>
      <c r="D766">
        <v>159.30752097954672</v>
      </c>
      <c r="E766">
        <v>100.11489356961559</v>
      </c>
      <c r="F766">
        <v>1.6690951166831667</v>
      </c>
      <c r="G766">
        <v>11.18915292614107</v>
      </c>
      <c r="H766">
        <v>0.92867216934744756</v>
      </c>
    </row>
    <row r="767" spans="1:8" x14ac:dyDescent="0.3">
      <c r="A767">
        <f t="shared" ref="A767:A830" si="11">A766+1</f>
        <v>707</v>
      </c>
      <c r="B767">
        <v>22291779.072060451</v>
      </c>
      <c r="C767">
        <v>120000.57974979148</v>
      </c>
      <c r="D767">
        <v>193.77167428668545</v>
      </c>
      <c r="E767">
        <v>96.473487948136579</v>
      </c>
      <c r="F767">
        <v>4.0925273464108685</v>
      </c>
      <c r="G767">
        <v>13.936395138083297</v>
      </c>
      <c r="H767">
        <v>1.0151761352336126</v>
      </c>
    </row>
    <row r="768" spans="1:8" x14ac:dyDescent="0.3">
      <c r="A768">
        <f t="shared" si="11"/>
        <v>708</v>
      </c>
      <c r="B768">
        <v>11796618.386948228</v>
      </c>
      <c r="C768">
        <v>120000.02083419259</v>
      </c>
      <c r="D768">
        <v>274.97358998031626</v>
      </c>
      <c r="E768">
        <v>105.56291883475208</v>
      </c>
      <c r="F768">
        <v>5.1840778041977185</v>
      </c>
      <c r="G768">
        <v>11.579745195975571</v>
      </c>
      <c r="H768">
        <v>1.1980455740402089</v>
      </c>
    </row>
    <row r="769" spans="1:8" x14ac:dyDescent="0.3">
      <c r="A769">
        <f t="shared" si="11"/>
        <v>709</v>
      </c>
      <c r="B769">
        <v>9326850.7714349255</v>
      </c>
      <c r="C769">
        <v>60000.433435810337</v>
      </c>
      <c r="D769">
        <v>216.64371223119855</v>
      </c>
      <c r="E769">
        <v>109.90727105890912</v>
      </c>
      <c r="F769">
        <v>3.2809267071944199</v>
      </c>
      <c r="G769">
        <v>9.425806336488705</v>
      </c>
      <c r="H769">
        <v>1.0459456715517077</v>
      </c>
    </row>
    <row r="770" spans="1:8" x14ac:dyDescent="0.3">
      <c r="A770">
        <f t="shared" si="11"/>
        <v>710</v>
      </c>
      <c r="B770">
        <v>23043883.924854212</v>
      </c>
      <c r="C770">
        <v>120001.25202872838</v>
      </c>
      <c r="D770">
        <v>187.42289370861931</v>
      </c>
      <c r="E770">
        <v>99.858805676989746</v>
      </c>
      <c r="F770">
        <v>4.122532889622966</v>
      </c>
      <c r="G770">
        <v>5.8358810153200409</v>
      </c>
      <c r="H770">
        <v>1.2237976344114117</v>
      </c>
    </row>
    <row r="771" spans="1:8" x14ac:dyDescent="0.3">
      <c r="A771">
        <f t="shared" si="11"/>
        <v>711</v>
      </c>
      <c r="B771">
        <v>30715551.897278178</v>
      </c>
      <c r="C771">
        <v>120003.0944542084</v>
      </c>
      <c r="D771">
        <v>162.38183510472973</v>
      </c>
      <c r="E771">
        <v>60.086275133566367</v>
      </c>
      <c r="F771">
        <v>3.8110667683613819</v>
      </c>
      <c r="G771">
        <v>10.350669135540052</v>
      </c>
      <c r="H771">
        <v>1.0709162587060519</v>
      </c>
    </row>
    <row r="772" spans="1:8" x14ac:dyDescent="0.3">
      <c r="A772">
        <f t="shared" si="11"/>
        <v>712</v>
      </c>
      <c r="B772">
        <v>16018927.839047633</v>
      </c>
      <c r="C772">
        <v>120001.2239064871</v>
      </c>
      <c r="D772">
        <v>227.71015509418368</v>
      </c>
      <c r="E772">
        <v>120.52657161775009</v>
      </c>
      <c r="F772">
        <v>5.3782259888797572</v>
      </c>
      <c r="G772">
        <v>9.2971040671474476</v>
      </c>
      <c r="H772">
        <v>0.96782588510817258</v>
      </c>
    </row>
    <row r="773" spans="1:8" x14ac:dyDescent="0.3">
      <c r="A773">
        <f t="shared" si="11"/>
        <v>713</v>
      </c>
      <c r="B773">
        <v>29280590.512562931</v>
      </c>
      <c r="C773">
        <v>120001.82167525258</v>
      </c>
      <c r="D773">
        <v>141.75612396028461</v>
      </c>
      <c r="E773">
        <v>91.907680130891208</v>
      </c>
      <c r="F773">
        <v>4.3054635365784781</v>
      </c>
      <c r="G773">
        <v>12.032499827078215</v>
      </c>
      <c r="H773">
        <v>1.0910710801505694</v>
      </c>
    </row>
    <row r="774" spans="1:8" x14ac:dyDescent="0.3">
      <c r="A774">
        <f t="shared" si="11"/>
        <v>714</v>
      </c>
      <c r="B774">
        <v>10630988.576809548</v>
      </c>
      <c r="C774">
        <v>60001.136005190609</v>
      </c>
      <c r="D774">
        <v>210.88476327544598</v>
      </c>
      <c r="E774">
        <v>90.045540736413002</v>
      </c>
      <c r="F774">
        <v>5.9801509773919941</v>
      </c>
      <c r="G774">
        <v>10.894117951000245</v>
      </c>
      <c r="H774">
        <v>0.87033278029507199</v>
      </c>
    </row>
    <row r="775" spans="1:8" x14ac:dyDescent="0.3">
      <c r="A775">
        <f t="shared" si="11"/>
        <v>715</v>
      </c>
      <c r="B775">
        <v>28783897.003125168</v>
      </c>
      <c r="C775">
        <v>119997.92190543645</v>
      </c>
      <c r="D775">
        <v>176.45484028002727</v>
      </c>
      <c r="E775">
        <v>60.745572175971432</v>
      </c>
      <c r="F775">
        <v>7.2132310244647391</v>
      </c>
      <c r="G775">
        <v>9.2334786876346442</v>
      </c>
      <c r="H775">
        <v>0.9698214811571082</v>
      </c>
    </row>
    <row r="776" spans="1:8" x14ac:dyDescent="0.3">
      <c r="A776">
        <f t="shared" si="11"/>
        <v>716</v>
      </c>
      <c r="B776">
        <v>19027107.066530168</v>
      </c>
      <c r="C776">
        <v>119999.95661620368</v>
      </c>
      <c r="D776">
        <v>215.48974859837585</v>
      </c>
      <c r="E776">
        <v>112.52545706746831</v>
      </c>
      <c r="F776">
        <v>7.7473009322426885</v>
      </c>
      <c r="G776">
        <v>2.8687867090625812</v>
      </c>
      <c r="H776">
        <v>1.0329754618265667</v>
      </c>
    </row>
    <row r="777" spans="1:8" x14ac:dyDescent="0.3">
      <c r="A777">
        <f t="shared" si="11"/>
        <v>717</v>
      </c>
      <c r="B777">
        <v>21943440.420688309</v>
      </c>
      <c r="C777">
        <v>120005.314055308</v>
      </c>
      <c r="D777">
        <v>198.78365603218484</v>
      </c>
      <c r="E777">
        <v>104.35419086758046</v>
      </c>
      <c r="F777">
        <v>3.598688110242148</v>
      </c>
      <c r="G777">
        <v>6.5808512428742265</v>
      </c>
      <c r="H777">
        <v>1.06261988242463</v>
      </c>
    </row>
    <row r="778" spans="1:8" x14ac:dyDescent="0.3">
      <c r="A778">
        <f t="shared" si="11"/>
        <v>718</v>
      </c>
      <c r="B778">
        <v>16052789.620925307</v>
      </c>
      <c r="C778">
        <v>119992.86889861307</v>
      </c>
      <c r="D778">
        <v>255.49977766843605</v>
      </c>
      <c r="E778">
        <v>93.279214494060966</v>
      </c>
      <c r="F778">
        <v>4.0216810839656869</v>
      </c>
      <c r="G778">
        <v>8.5085981639109818</v>
      </c>
      <c r="H778">
        <v>1.0844223001610032</v>
      </c>
    </row>
    <row r="779" spans="1:8" x14ac:dyDescent="0.3">
      <c r="A779">
        <f t="shared" si="11"/>
        <v>719</v>
      </c>
      <c r="B779">
        <v>36142208.872516401</v>
      </c>
      <c r="C779">
        <v>120000.25639520596</v>
      </c>
      <c r="D779">
        <v>106.19143587127766</v>
      </c>
      <c r="E779">
        <v>70.206082963707559</v>
      </c>
      <c r="F779">
        <v>4.1187667001112258</v>
      </c>
      <c r="G779">
        <v>10.678692778836952</v>
      </c>
      <c r="H779">
        <v>1.1426025612386921</v>
      </c>
    </row>
    <row r="780" spans="1:8" x14ac:dyDescent="0.3">
      <c r="A780">
        <f t="shared" si="11"/>
        <v>720</v>
      </c>
      <c r="B780">
        <v>19511706.626159541</v>
      </c>
      <c r="C780">
        <v>119997.42399971989</v>
      </c>
      <c r="D780">
        <v>216.00180520086835</v>
      </c>
      <c r="E780">
        <v>97.215893189006763</v>
      </c>
      <c r="F780">
        <v>8.8189484392878672</v>
      </c>
      <c r="G780">
        <v>8.2392105564223339</v>
      </c>
      <c r="H780">
        <v>1.0778505345365972</v>
      </c>
    </row>
    <row r="781" spans="1:8" x14ac:dyDescent="0.3">
      <c r="A781">
        <f t="shared" si="11"/>
        <v>721</v>
      </c>
      <c r="B781">
        <v>11913390.036796883</v>
      </c>
      <c r="C781">
        <v>119995.93492401551</v>
      </c>
      <c r="D781">
        <v>258.88278947593062</v>
      </c>
      <c r="E781">
        <v>123.29157027234848</v>
      </c>
      <c r="F781">
        <v>8.3165721588771468</v>
      </c>
      <c r="G781">
        <v>7.8440350267675232</v>
      </c>
      <c r="H781">
        <v>1.0800463917772776</v>
      </c>
    </row>
    <row r="782" spans="1:8" x14ac:dyDescent="0.3">
      <c r="A782">
        <f t="shared" si="11"/>
        <v>722</v>
      </c>
      <c r="B782">
        <v>18249968.232978269</v>
      </c>
      <c r="C782">
        <v>119995.67770058072</v>
      </c>
      <c r="D782">
        <v>253.02166349646768</v>
      </c>
      <c r="E782">
        <v>74.02584314403768</v>
      </c>
      <c r="F782">
        <v>6.9581139112702122</v>
      </c>
      <c r="G782">
        <v>5.3961168551083833</v>
      </c>
      <c r="H782">
        <v>1.0979142800761994</v>
      </c>
    </row>
    <row r="783" spans="1:8" x14ac:dyDescent="0.3">
      <c r="A783">
        <f t="shared" si="11"/>
        <v>723</v>
      </c>
      <c r="B783">
        <v>14148470.73275961</v>
      </c>
      <c r="C783">
        <v>119997.01524475437</v>
      </c>
      <c r="D783">
        <v>251.52953821663428</v>
      </c>
      <c r="E783">
        <v>106.72755433096364</v>
      </c>
      <c r="F783">
        <v>8.6889983873671106</v>
      </c>
      <c r="G783">
        <v>9.4795758074141432</v>
      </c>
      <c r="H783">
        <v>0.96296872854157534</v>
      </c>
    </row>
    <row r="784" spans="1:8" x14ac:dyDescent="0.3">
      <c r="A784">
        <f t="shared" si="11"/>
        <v>724</v>
      </c>
      <c r="B784">
        <v>16275593.158914268</v>
      </c>
      <c r="C784">
        <v>120001.2563426251</v>
      </c>
      <c r="D784">
        <v>241.99390190772641</v>
      </c>
      <c r="E784">
        <v>99.920938560020758</v>
      </c>
      <c r="F784">
        <v>6.5327053704300191</v>
      </c>
      <c r="G784">
        <v>11.414799994407742</v>
      </c>
      <c r="H784">
        <v>1.1339248426647275</v>
      </c>
    </row>
    <row r="785" spans="1:8" x14ac:dyDescent="0.3">
      <c r="A785">
        <f t="shared" si="11"/>
        <v>725</v>
      </c>
      <c r="B785">
        <v>20232795.494887471</v>
      </c>
      <c r="C785">
        <v>120002.27059046179</v>
      </c>
      <c r="D785">
        <v>238.2580958935867</v>
      </c>
      <c r="E785">
        <v>70.290682979466865</v>
      </c>
      <c r="F785">
        <v>5.1876478135692397</v>
      </c>
      <c r="G785">
        <v>8.7242285362116139</v>
      </c>
      <c r="H785">
        <v>1.0804050159986127</v>
      </c>
    </row>
    <row r="786" spans="1:8" x14ac:dyDescent="0.3">
      <c r="A786">
        <f t="shared" si="11"/>
        <v>726</v>
      </c>
      <c r="B786">
        <v>24527643.495905157</v>
      </c>
      <c r="C786">
        <v>119995.6911341152</v>
      </c>
      <c r="D786">
        <v>207.84044942027617</v>
      </c>
      <c r="E786">
        <v>59.987864543161571</v>
      </c>
      <c r="F786">
        <v>5.7196569040251388</v>
      </c>
      <c r="G786">
        <v>10.600810400942045</v>
      </c>
      <c r="H786">
        <v>0.86881182983320515</v>
      </c>
    </row>
    <row r="787" spans="1:8" x14ac:dyDescent="0.3">
      <c r="A787">
        <f t="shared" si="11"/>
        <v>727</v>
      </c>
      <c r="B787">
        <v>24015347.784813434</v>
      </c>
      <c r="C787">
        <v>120002.72759189877</v>
      </c>
      <c r="D787">
        <v>153.70723741685399</v>
      </c>
      <c r="E787">
        <v>121.60193090010702</v>
      </c>
      <c r="F787">
        <v>5.7759905965054381</v>
      </c>
      <c r="G787">
        <v>9.6528588112709333</v>
      </c>
      <c r="H787">
        <v>1.0476993159658219</v>
      </c>
    </row>
    <row r="788" spans="1:8" x14ac:dyDescent="0.3">
      <c r="A788">
        <f t="shared" si="11"/>
        <v>728</v>
      </c>
      <c r="B788">
        <v>13338301.161672413</v>
      </c>
      <c r="C788">
        <v>120001.37535810797</v>
      </c>
      <c r="D788">
        <v>249.01933225748155</v>
      </c>
      <c r="E788">
        <v>119.05567484731418</v>
      </c>
      <c r="F788">
        <v>7.1537495057130442</v>
      </c>
      <c r="G788">
        <v>9.0129061630718574</v>
      </c>
      <c r="H788">
        <v>1.0763464990128768</v>
      </c>
    </row>
    <row r="789" spans="1:8" x14ac:dyDescent="0.3">
      <c r="A789">
        <f t="shared" si="11"/>
        <v>729</v>
      </c>
      <c r="B789">
        <v>23149384.084732577</v>
      </c>
      <c r="C789">
        <v>120003.58469165867</v>
      </c>
      <c r="D789">
        <v>182.92722206340133</v>
      </c>
      <c r="E789">
        <v>98.853260839053192</v>
      </c>
      <c r="F789">
        <v>5.2854050824336127</v>
      </c>
      <c r="G789">
        <v>14.807561478797759</v>
      </c>
      <c r="H789">
        <v>0.86486542183482862</v>
      </c>
    </row>
    <row r="790" spans="1:8" x14ac:dyDescent="0.3">
      <c r="A790">
        <f t="shared" si="11"/>
        <v>730</v>
      </c>
      <c r="B790">
        <v>26905480.388265301</v>
      </c>
      <c r="C790">
        <v>119996.55274203827</v>
      </c>
      <c r="D790">
        <v>176.12422531136582</v>
      </c>
      <c r="E790">
        <v>78.068652494259936</v>
      </c>
      <c r="F790">
        <v>4.683719745951195</v>
      </c>
      <c r="G790">
        <v>11.551794745475148</v>
      </c>
      <c r="H790">
        <v>0.80394593142657178</v>
      </c>
    </row>
    <row r="791" spans="1:8" x14ac:dyDescent="0.3">
      <c r="A791">
        <f t="shared" si="11"/>
        <v>731</v>
      </c>
      <c r="B791">
        <v>24195222.329096694</v>
      </c>
      <c r="C791">
        <v>119998.25182609542</v>
      </c>
      <c r="D791">
        <v>150.36474409038959</v>
      </c>
      <c r="E791">
        <v>121.32932146153296</v>
      </c>
      <c r="F791">
        <v>4.3448542059626023</v>
      </c>
      <c r="G791">
        <v>12.083355052658193</v>
      </c>
      <c r="H791">
        <v>1.0121113941979472</v>
      </c>
    </row>
    <row r="792" spans="1:8" x14ac:dyDescent="0.3">
      <c r="A792">
        <f t="shared" si="11"/>
        <v>732</v>
      </c>
      <c r="B792">
        <v>18053750.168926314</v>
      </c>
      <c r="C792">
        <v>120002.67769620949</v>
      </c>
      <c r="D792">
        <v>202.09644069812992</v>
      </c>
      <c r="E792">
        <v>128.24191748261819</v>
      </c>
      <c r="F792">
        <v>5.3085320806725047</v>
      </c>
      <c r="G792">
        <v>10.691419131304032</v>
      </c>
      <c r="H792">
        <v>0.88135261259750897</v>
      </c>
    </row>
    <row r="793" spans="1:8" x14ac:dyDescent="0.3">
      <c r="A793">
        <f t="shared" si="11"/>
        <v>733</v>
      </c>
      <c r="B793">
        <v>28074088.675103296</v>
      </c>
      <c r="C793">
        <v>120003.09464207821</v>
      </c>
      <c r="D793">
        <v>145.43916533149863</v>
      </c>
      <c r="E793">
        <v>98.591443882938407</v>
      </c>
      <c r="F793">
        <v>5.2826723952987455</v>
      </c>
      <c r="G793">
        <v>9.1240288163106751</v>
      </c>
      <c r="H793">
        <v>0.99762328594747751</v>
      </c>
    </row>
    <row r="794" spans="1:8" x14ac:dyDescent="0.3">
      <c r="A794">
        <f t="shared" si="11"/>
        <v>734</v>
      </c>
      <c r="B794">
        <v>26923476.995780464</v>
      </c>
      <c r="C794">
        <v>120004.29488144336</v>
      </c>
      <c r="D794">
        <v>163.23686295556547</v>
      </c>
      <c r="E794">
        <v>86.210950038843663</v>
      </c>
      <c r="F794">
        <v>7.6018270500413223</v>
      </c>
      <c r="G794">
        <v>9.7480494061822363</v>
      </c>
      <c r="H794">
        <v>1.033514148438397</v>
      </c>
    </row>
    <row r="795" spans="1:8" x14ac:dyDescent="0.3">
      <c r="A795">
        <f t="shared" si="11"/>
        <v>735</v>
      </c>
      <c r="B795">
        <v>19137373.73464264</v>
      </c>
      <c r="C795">
        <v>119997.45668452285</v>
      </c>
      <c r="D795">
        <v>187.00385149293092</v>
      </c>
      <c r="E795">
        <v>135.36235037818292</v>
      </c>
      <c r="F795">
        <v>3.12092826740039</v>
      </c>
      <c r="G795">
        <v>5.6445899244554623</v>
      </c>
      <c r="H795">
        <v>0.85537474271505565</v>
      </c>
    </row>
    <row r="796" spans="1:8" x14ac:dyDescent="0.3">
      <c r="A796">
        <f t="shared" si="11"/>
        <v>736</v>
      </c>
      <c r="B796">
        <v>18558798.242914177</v>
      </c>
      <c r="C796">
        <v>120003.06214736507</v>
      </c>
      <c r="D796">
        <v>220.30120524326497</v>
      </c>
      <c r="E796">
        <v>99.833931310362047</v>
      </c>
      <c r="F796">
        <v>3.7984771777525843</v>
      </c>
      <c r="G796">
        <v>15.443249237897119</v>
      </c>
      <c r="H796">
        <v>1.0027381224269116</v>
      </c>
    </row>
    <row r="797" spans="1:8" x14ac:dyDescent="0.3">
      <c r="A797">
        <f t="shared" si="11"/>
        <v>737</v>
      </c>
      <c r="B797">
        <v>17135421.139258161</v>
      </c>
      <c r="C797">
        <v>119995.98597484711</v>
      </c>
      <c r="D797">
        <v>238.35330782568204</v>
      </c>
      <c r="E797">
        <v>92.883380433924884</v>
      </c>
      <c r="F797">
        <v>5.6855504186313102</v>
      </c>
      <c r="G797">
        <v>13.956826018497392</v>
      </c>
      <c r="H797">
        <v>1.1414856711180092</v>
      </c>
    </row>
    <row r="798" spans="1:8" x14ac:dyDescent="0.3">
      <c r="A798">
        <f t="shared" si="11"/>
        <v>738</v>
      </c>
      <c r="B798">
        <v>21023796.021268964</v>
      </c>
      <c r="C798">
        <v>119996.74014775186</v>
      </c>
      <c r="D798">
        <v>222.02316127812381</v>
      </c>
      <c r="E798">
        <v>84.89654492071061</v>
      </c>
      <c r="F798">
        <v>3.7648324445525252</v>
      </c>
      <c r="G798">
        <v>11.421762369277126</v>
      </c>
      <c r="H798">
        <v>0.99049984351755882</v>
      </c>
    </row>
    <row r="799" spans="1:8" x14ac:dyDescent="0.3">
      <c r="A799">
        <f t="shared" si="11"/>
        <v>739</v>
      </c>
      <c r="B799">
        <v>21979432.646080188</v>
      </c>
      <c r="C799">
        <v>120000.04525047301</v>
      </c>
      <c r="D799">
        <v>180.94306610317727</v>
      </c>
      <c r="E799">
        <v>115.48077675163509</v>
      </c>
      <c r="F799">
        <v>1.1724686121477439</v>
      </c>
      <c r="G799">
        <v>11.246139453878191</v>
      </c>
      <c r="H799">
        <v>0.88044860151869764</v>
      </c>
    </row>
    <row r="800" spans="1:8" x14ac:dyDescent="0.3">
      <c r="A800">
        <f t="shared" si="11"/>
        <v>740</v>
      </c>
      <c r="B800">
        <v>15366863.397146612</v>
      </c>
      <c r="C800">
        <v>119997.96105192933</v>
      </c>
      <c r="D800">
        <v>193.55080177495302</v>
      </c>
      <c r="E800">
        <v>150.05818466518309</v>
      </c>
      <c r="F800">
        <v>8.3467212482107609</v>
      </c>
      <c r="G800">
        <v>14.645987807600523</v>
      </c>
      <c r="H800">
        <v>0.99597201598494112</v>
      </c>
    </row>
    <row r="801" spans="1:8" x14ac:dyDescent="0.3">
      <c r="A801">
        <f t="shared" si="11"/>
        <v>741</v>
      </c>
      <c r="B801">
        <v>13684752.795508919</v>
      </c>
      <c r="C801">
        <v>59997.70152686652</v>
      </c>
      <c r="D801">
        <v>161.66929665513271</v>
      </c>
      <c r="E801">
        <v>86.143405700195146</v>
      </c>
      <c r="F801">
        <v>8.7521151823067775</v>
      </c>
      <c r="G801">
        <v>7.7898388443285267</v>
      </c>
      <c r="H801">
        <v>1.0097884454427897</v>
      </c>
    </row>
    <row r="802" spans="1:8" x14ac:dyDescent="0.3">
      <c r="A802">
        <f t="shared" si="11"/>
        <v>742</v>
      </c>
      <c r="B802">
        <v>27894462.111537747</v>
      </c>
      <c r="C802">
        <v>120000.51257580478</v>
      </c>
      <c r="D802">
        <v>147.83571196459681</v>
      </c>
      <c r="E802">
        <v>98.042755689015863</v>
      </c>
      <c r="F802">
        <v>2.4068945499317542</v>
      </c>
      <c r="G802">
        <v>12.63092713448555</v>
      </c>
      <c r="H802">
        <v>0.97896013855381703</v>
      </c>
    </row>
    <row r="803" spans="1:8" x14ac:dyDescent="0.3">
      <c r="A803">
        <f t="shared" si="11"/>
        <v>743</v>
      </c>
      <c r="B803">
        <v>22912024.411900088</v>
      </c>
      <c r="C803">
        <v>119998.30737354619</v>
      </c>
      <c r="D803">
        <v>190.39590418688508</v>
      </c>
      <c r="E803">
        <v>101.35181116444544</v>
      </c>
      <c r="F803">
        <v>7.1912698350614059</v>
      </c>
      <c r="G803">
        <v>4.9347496070270651</v>
      </c>
      <c r="H803">
        <v>1.024096918144358</v>
      </c>
    </row>
    <row r="804" spans="1:8" x14ac:dyDescent="0.3">
      <c r="A804">
        <f t="shared" si="11"/>
        <v>744</v>
      </c>
      <c r="B804">
        <v>18161028.393810108</v>
      </c>
      <c r="C804">
        <v>119998.45781077177</v>
      </c>
      <c r="D804">
        <v>184.84462530860395</v>
      </c>
      <c r="E804">
        <v>141.52930754268135</v>
      </c>
      <c r="F804">
        <v>4.4258717788551483</v>
      </c>
      <c r="G804">
        <v>9.7236299940285971</v>
      </c>
      <c r="H804">
        <v>0.88874769673972143</v>
      </c>
    </row>
    <row r="805" spans="1:8" x14ac:dyDescent="0.3">
      <c r="A805">
        <f t="shared" si="11"/>
        <v>745</v>
      </c>
      <c r="B805">
        <v>15259361.025289372</v>
      </c>
      <c r="C805">
        <v>120004.34248535721</v>
      </c>
      <c r="D805">
        <v>243.99497174323446</v>
      </c>
      <c r="E805">
        <v>106.78683641607351</v>
      </c>
      <c r="F805">
        <v>5.181302022778187</v>
      </c>
      <c r="G805">
        <v>10.16648471146596</v>
      </c>
      <c r="H805">
        <v>1.0183010178105736</v>
      </c>
    </row>
    <row r="806" spans="1:8" x14ac:dyDescent="0.3">
      <c r="A806">
        <f t="shared" si="11"/>
        <v>746</v>
      </c>
      <c r="B806">
        <v>26510999.171101887</v>
      </c>
      <c r="C806">
        <v>120002.47880108518</v>
      </c>
      <c r="D806">
        <v>185.43016099380222</v>
      </c>
      <c r="E806">
        <v>64.648002524782953</v>
      </c>
      <c r="F806">
        <v>4.5275705739043284</v>
      </c>
      <c r="G806">
        <v>12.70271785447563</v>
      </c>
      <c r="H806">
        <v>1.030270095387126</v>
      </c>
    </row>
    <row r="807" spans="1:8" x14ac:dyDescent="0.3">
      <c r="A807">
        <f t="shared" si="11"/>
        <v>747</v>
      </c>
      <c r="B807">
        <v>19561449.836843438</v>
      </c>
      <c r="C807">
        <v>120004.92444826619</v>
      </c>
      <c r="D807">
        <v>200.99511949663611</v>
      </c>
      <c r="E807">
        <v>109.91299953471797</v>
      </c>
      <c r="F807">
        <v>5.8172266553568344</v>
      </c>
      <c r="G807">
        <v>11.728009164227853</v>
      </c>
      <c r="H807">
        <v>0.95907945071633338</v>
      </c>
    </row>
    <row r="808" spans="1:8" x14ac:dyDescent="0.3">
      <c r="A808">
        <f t="shared" si="11"/>
        <v>748</v>
      </c>
      <c r="B808">
        <v>28668570.46951656</v>
      </c>
      <c r="C808">
        <v>119994.92322611598</v>
      </c>
      <c r="D808">
        <v>124.27977859165568</v>
      </c>
      <c r="E808">
        <v>114.7444448634765</v>
      </c>
      <c r="F808">
        <v>3.8118123006369773</v>
      </c>
      <c r="G808">
        <v>11.685694933299303</v>
      </c>
      <c r="H808">
        <v>0.94425054136721587</v>
      </c>
    </row>
    <row r="809" spans="1:8" x14ac:dyDescent="0.3">
      <c r="A809">
        <f t="shared" si="11"/>
        <v>749</v>
      </c>
      <c r="B809">
        <v>8924518.3447503224</v>
      </c>
      <c r="C809">
        <v>119998.03350195241</v>
      </c>
      <c r="D809">
        <v>299.00792768794895</v>
      </c>
      <c r="E809">
        <v>104.58455505550637</v>
      </c>
      <c r="F809">
        <v>4.5783165713510403</v>
      </c>
      <c r="G809">
        <v>13.947694924791021</v>
      </c>
      <c r="H809">
        <v>1.0912825206175032</v>
      </c>
    </row>
    <row r="810" spans="1:8" x14ac:dyDescent="0.3">
      <c r="A810">
        <f t="shared" si="11"/>
        <v>750</v>
      </c>
      <c r="B810">
        <v>17226689.348359838</v>
      </c>
      <c r="C810">
        <v>120000.50815977076</v>
      </c>
      <c r="D810">
        <v>252.57679268846545</v>
      </c>
      <c r="E810">
        <v>87.108679687062448</v>
      </c>
      <c r="F810">
        <v>4.5934011914135198</v>
      </c>
      <c r="G810">
        <v>5.2700171436732015</v>
      </c>
      <c r="H810">
        <v>1.0646102084782556</v>
      </c>
    </row>
    <row r="811" spans="1:8" x14ac:dyDescent="0.3">
      <c r="A811">
        <f t="shared" si="11"/>
        <v>751</v>
      </c>
      <c r="B811">
        <v>15280209.562288977</v>
      </c>
      <c r="C811">
        <v>120001.72752762047</v>
      </c>
      <c r="D811">
        <v>234.94371755754625</v>
      </c>
      <c r="E811">
        <v>114.9476966018658</v>
      </c>
      <c r="F811">
        <v>4.9050460961840807</v>
      </c>
      <c r="G811">
        <v>15.161695743902779</v>
      </c>
      <c r="H811">
        <v>1.037140070078423</v>
      </c>
    </row>
    <row r="812" spans="1:8" x14ac:dyDescent="0.3">
      <c r="A812">
        <f t="shared" si="11"/>
        <v>752</v>
      </c>
      <c r="B812">
        <v>15839379.707415849</v>
      </c>
      <c r="C812">
        <v>59999.565725434149</v>
      </c>
      <c r="D812">
        <v>120.24568798330719</v>
      </c>
      <c r="E812">
        <v>98.259855910998638</v>
      </c>
      <c r="F812">
        <v>2.7585164352850393</v>
      </c>
      <c r="G812">
        <v>5.9997697470249447</v>
      </c>
      <c r="H812">
        <v>0.8544363709035635</v>
      </c>
    </row>
    <row r="813" spans="1:8" x14ac:dyDescent="0.3">
      <c r="A813">
        <f t="shared" si="11"/>
        <v>753</v>
      </c>
      <c r="B813">
        <v>29212000.787956044</v>
      </c>
      <c r="C813">
        <v>119993.05412624027</v>
      </c>
      <c r="D813">
        <v>98.836797862073254</v>
      </c>
      <c r="E813">
        <v>127.88349496169255</v>
      </c>
      <c r="F813">
        <v>8.9553963907050491</v>
      </c>
      <c r="G813">
        <v>12.104571680151977</v>
      </c>
      <c r="H813">
        <v>0.88237720519959773</v>
      </c>
    </row>
    <row r="814" spans="1:8" x14ac:dyDescent="0.3">
      <c r="A814">
        <f t="shared" si="11"/>
        <v>754</v>
      </c>
      <c r="B814">
        <v>19991228.430377007</v>
      </c>
      <c r="C814">
        <v>120009.95350525735</v>
      </c>
      <c r="D814">
        <v>231.23442921513475</v>
      </c>
      <c r="E814">
        <v>77.747016165747524</v>
      </c>
      <c r="F814">
        <v>5.6495093483425913</v>
      </c>
      <c r="G814">
        <v>10.504296563698762</v>
      </c>
      <c r="H814">
        <v>0.98809110212583762</v>
      </c>
    </row>
    <row r="815" spans="1:8" x14ac:dyDescent="0.3">
      <c r="A815">
        <f t="shared" si="11"/>
        <v>755</v>
      </c>
      <c r="B815">
        <v>20347147.112862505</v>
      </c>
      <c r="C815">
        <v>119997.07295361417</v>
      </c>
      <c r="D815">
        <v>189.74512799227992</v>
      </c>
      <c r="E815">
        <v>124.86837606600552</v>
      </c>
      <c r="F815">
        <v>6.8314703218787587</v>
      </c>
      <c r="G815">
        <v>4.7808419600161418</v>
      </c>
      <c r="H815">
        <v>1.0748456742894008</v>
      </c>
    </row>
    <row r="816" spans="1:8" x14ac:dyDescent="0.3">
      <c r="A816">
        <f t="shared" si="11"/>
        <v>756</v>
      </c>
      <c r="B816">
        <v>29396417.802617755</v>
      </c>
      <c r="C816">
        <v>119999.21252307054</v>
      </c>
      <c r="D816">
        <v>106.34765485303939</v>
      </c>
      <c r="E816">
        <v>127.4074698407973</v>
      </c>
      <c r="F816">
        <v>6.6546599373490309</v>
      </c>
      <c r="G816">
        <v>9.2325814934645258</v>
      </c>
      <c r="H816">
        <v>1.0604257932418</v>
      </c>
    </row>
    <row r="817" spans="1:8" x14ac:dyDescent="0.3">
      <c r="A817">
        <f t="shared" si="11"/>
        <v>757</v>
      </c>
      <c r="B817">
        <v>22850739.137067564</v>
      </c>
      <c r="C817">
        <v>119994.59914469621</v>
      </c>
      <c r="D817">
        <v>207.87578450395085</v>
      </c>
      <c r="E817">
        <v>84.285479970217182</v>
      </c>
      <c r="F817">
        <v>4.5894380653831695</v>
      </c>
      <c r="G817">
        <v>7.4973666745330716</v>
      </c>
      <c r="H817">
        <v>0.93978215330196779</v>
      </c>
    </row>
    <row r="818" spans="1:8" x14ac:dyDescent="0.3">
      <c r="A818">
        <f t="shared" si="11"/>
        <v>758</v>
      </c>
      <c r="B818">
        <v>7679961.3077458739</v>
      </c>
      <c r="C818">
        <v>60001.937320784826</v>
      </c>
      <c r="D818">
        <v>252.87188322663897</v>
      </c>
      <c r="E818">
        <v>100.34277544856437</v>
      </c>
      <c r="F818">
        <v>5.0205400609420812</v>
      </c>
      <c r="G818">
        <v>9.4136880069435112</v>
      </c>
      <c r="H818">
        <v>1.0221220395630439</v>
      </c>
    </row>
    <row r="819" spans="1:8" x14ac:dyDescent="0.3">
      <c r="A819">
        <f t="shared" si="11"/>
        <v>759</v>
      </c>
      <c r="B819">
        <v>27212078.011514816</v>
      </c>
      <c r="C819">
        <v>119995.27817810002</v>
      </c>
      <c r="D819">
        <v>179.35453684062489</v>
      </c>
      <c r="E819">
        <v>71.795053907173639</v>
      </c>
      <c r="F819">
        <v>6.0757403755475394</v>
      </c>
      <c r="G819">
        <v>7.9899456648916498</v>
      </c>
      <c r="H819">
        <v>0.98964712584132031</v>
      </c>
    </row>
    <row r="820" spans="1:8" x14ac:dyDescent="0.3">
      <c r="A820">
        <f t="shared" si="11"/>
        <v>760</v>
      </c>
      <c r="B820">
        <v>17651459.410451308</v>
      </c>
      <c r="C820">
        <v>119996.83330848491</v>
      </c>
      <c r="D820">
        <v>211.71524778711844</v>
      </c>
      <c r="E820">
        <v>123.77586301910279</v>
      </c>
      <c r="F820">
        <v>4.1247359934408951</v>
      </c>
      <c r="G820">
        <v>6.3601366108850819</v>
      </c>
      <c r="H820">
        <v>1.0789340837972756</v>
      </c>
    </row>
    <row r="821" spans="1:8" x14ac:dyDescent="0.3">
      <c r="A821">
        <f t="shared" si="11"/>
        <v>761</v>
      </c>
      <c r="B821">
        <v>17575589.20010443</v>
      </c>
      <c r="C821">
        <v>119994.62254709411</v>
      </c>
      <c r="D821">
        <v>246.85162120360792</v>
      </c>
      <c r="E821">
        <v>90.782475625429257</v>
      </c>
      <c r="F821">
        <v>2.8516456391000515</v>
      </c>
      <c r="G821">
        <v>7.4069075749208242</v>
      </c>
      <c r="H821">
        <v>1.0606807657476813</v>
      </c>
    </row>
    <row r="822" spans="1:8" x14ac:dyDescent="0.3">
      <c r="A822">
        <f t="shared" si="11"/>
        <v>762</v>
      </c>
      <c r="B822">
        <v>7260302.666507341</v>
      </c>
      <c r="C822">
        <v>119996.25831937145</v>
      </c>
      <c r="D822">
        <v>329.83189588917702</v>
      </c>
      <c r="E822">
        <v>94.425071397835694</v>
      </c>
      <c r="F822">
        <v>5.0283405241537595</v>
      </c>
      <c r="G822">
        <v>6.6205171065660586</v>
      </c>
      <c r="H822">
        <v>1.1424785572003491</v>
      </c>
    </row>
    <row r="823" spans="1:8" x14ac:dyDescent="0.3">
      <c r="A823">
        <f t="shared" si="11"/>
        <v>763</v>
      </c>
      <c r="B823">
        <v>28851236.080176067</v>
      </c>
      <c r="C823">
        <v>120001.27801691722</v>
      </c>
      <c r="D823">
        <v>173.02070544518011</v>
      </c>
      <c r="E823">
        <v>64.691378172809706</v>
      </c>
      <c r="F823">
        <v>6.1406648442190166</v>
      </c>
      <c r="G823">
        <v>10.691644129935451</v>
      </c>
      <c r="H823">
        <v>1.0616755657823509</v>
      </c>
    </row>
    <row r="824" spans="1:8" x14ac:dyDescent="0.3">
      <c r="A824">
        <f t="shared" si="11"/>
        <v>764</v>
      </c>
      <c r="B824">
        <v>19458645.855551548</v>
      </c>
      <c r="C824">
        <v>120005.37809162558</v>
      </c>
      <c r="D824">
        <v>207.03444709940541</v>
      </c>
      <c r="E824">
        <v>110.94350323578604</v>
      </c>
      <c r="F824">
        <v>4.3702680260359079</v>
      </c>
      <c r="G824">
        <v>8.096486408399139</v>
      </c>
      <c r="H824">
        <v>0.83118024078209829</v>
      </c>
    </row>
    <row r="825" spans="1:8" x14ac:dyDescent="0.3">
      <c r="A825">
        <f t="shared" si="11"/>
        <v>765</v>
      </c>
      <c r="B825">
        <v>20263308.212034032</v>
      </c>
      <c r="C825">
        <v>120000.15507563237</v>
      </c>
      <c r="D825">
        <v>221.25707497478106</v>
      </c>
      <c r="E825">
        <v>87.934325057145344</v>
      </c>
      <c r="F825">
        <v>5.5467739476897222</v>
      </c>
      <c r="G825">
        <v>11.713369079393212</v>
      </c>
      <c r="H825">
        <v>1.0160273274822771</v>
      </c>
    </row>
    <row r="826" spans="1:8" x14ac:dyDescent="0.3">
      <c r="A826">
        <f t="shared" si="11"/>
        <v>766</v>
      </c>
      <c r="B826">
        <v>14872182.982709281</v>
      </c>
      <c r="C826">
        <v>119999.23751084862</v>
      </c>
      <c r="D826">
        <v>271.73192379700686</v>
      </c>
      <c r="E826">
        <v>88.086130772477219</v>
      </c>
      <c r="F826">
        <v>2.8529148333479939</v>
      </c>
      <c r="G826">
        <v>7.8679365737436235</v>
      </c>
      <c r="H826">
        <v>1.1497891381590744</v>
      </c>
    </row>
    <row r="827" spans="1:8" x14ac:dyDescent="0.3">
      <c r="A827">
        <f t="shared" si="11"/>
        <v>767</v>
      </c>
      <c r="B827">
        <v>18719217.151828386</v>
      </c>
      <c r="C827">
        <v>120004.24329387535</v>
      </c>
      <c r="D827">
        <v>222.75325253699233</v>
      </c>
      <c r="E827">
        <v>100.89973429931179</v>
      </c>
      <c r="F827">
        <v>4.9774184859457904</v>
      </c>
      <c r="G827">
        <v>6.4854820828479092</v>
      </c>
      <c r="H827">
        <v>0.96815927758485243</v>
      </c>
    </row>
    <row r="828" spans="1:8" x14ac:dyDescent="0.3">
      <c r="A828">
        <f t="shared" si="11"/>
        <v>768</v>
      </c>
      <c r="B828">
        <v>23447926.998120226</v>
      </c>
      <c r="C828">
        <v>119993.03744974681</v>
      </c>
      <c r="D828">
        <v>198.86554154935666</v>
      </c>
      <c r="E828">
        <v>82.905480819825314</v>
      </c>
      <c r="F828">
        <v>4.8387011700303368</v>
      </c>
      <c r="G828">
        <v>7.8748677636148852</v>
      </c>
      <c r="H828">
        <v>0.92578898063347526</v>
      </c>
    </row>
    <row r="829" spans="1:8" x14ac:dyDescent="0.3">
      <c r="A829">
        <f t="shared" si="11"/>
        <v>769</v>
      </c>
      <c r="B829">
        <v>18721894.538148165</v>
      </c>
      <c r="C829">
        <v>119995.45678052984</v>
      </c>
      <c r="D829">
        <v>216.12089751514279</v>
      </c>
      <c r="E829">
        <v>105.22596839816114</v>
      </c>
      <c r="F829">
        <v>4.7497862173288983</v>
      </c>
      <c r="G829">
        <v>11.161843262610745</v>
      </c>
      <c r="H829">
        <v>1.1995225640600851</v>
      </c>
    </row>
    <row r="830" spans="1:8" x14ac:dyDescent="0.3">
      <c r="A830">
        <f t="shared" si="11"/>
        <v>770</v>
      </c>
      <c r="B830">
        <v>17774555.893736057</v>
      </c>
      <c r="C830">
        <v>120001.41902711095</v>
      </c>
      <c r="D830">
        <v>200.37076047629699</v>
      </c>
      <c r="E830">
        <v>124.97078887170611</v>
      </c>
      <c r="F830">
        <v>6.1493286536467782</v>
      </c>
      <c r="G830">
        <v>15.916258175358035</v>
      </c>
      <c r="H830">
        <v>1.0860731482525683</v>
      </c>
    </row>
    <row r="831" spans="1:8" x14ac:dyDescent="0.3">
      <c r="A831">
        <f t="shared" ref="A831:A894" si="12">A830+1</f>
        <v>771</v>
      </c>
      <c r="B831">
        <v>14044152.236423127</v>
      </c>
      <c r="C831">
        <v>120002.31899955665</v>
      </c>
      <c r="D831">
        <v>237.63190540589181</v>
      </c>
      <c r="E831">
        <v>124.2138428616734</v>
      </c>
      <c r="F831">
        <v>9.1352960511308403</v>
      </c>
      <c r="G831">
        <v>7.6340514422833454</v>
      </c>
      <c r="H831">
        <v>1.1541059745909088</v>
      </c>
    </row>
    <row r="832" spans="1:8" x14ac:dyDescent="0.3">
      <c r="A832">
        <f t="shared" si="12"/>
        <v>772</v>
      </c>
      <c r="B832">
        <v>31407547.952998839</v>
      </c>
      <c r="C832">
        <v>120003.17510003599</v>
      </c>
      <c r="D832">
        <v>148.5591740031617</v>
      </c>
      <c r="E832">
        <v>70.867686838870171</v>
      </c>
      <c r="F832">
        <v>3.6563446725615814</v>
      </c>
      <c r="G832">
        <v>8.519097178503392</v>
      </c>
      <c r="H832">
        <v>1.0221368850026895</v>
      </c>
    </row>
    <row r="833" spans="1:8" x14ac:dyDescent="0.3">
      <c r="A833">
        <f t="shared" si="12"/>
        <v>773</v>
      </c>
      <c r="B833">
        <v>15335987.320487</v>
      </c>
      <c r="C833">
        <v>120000.93418348793</v>
      </c>
      <c r="D833">
        <v>265.30584779742804</v>
      </c>
      <c r="E833">
        <v>89.332790206189827</v>
      </c>
      <c r="F833">
        <v>2.9623486826075176</v>
      </c>
      <c r="G833">
        <v>8.5961403740029674</v>
      </c>
      <c r="H833">
        <v>1.1362095861152317</v>
      </c>
    </row>
    <row r="834" spans="1:8" x14ac:dyDescent="0.3">
      <c r="A834">
        <f t="shared" si="12"/>
        <v>774</v>
      </c>
      <c r="B834">
        <v>21478450.718283132</v>
      </c>
      <c r="C834">
        <v>120007.65649524436</v>
      </c>
      <c r="D834">
        <v>199.69264865144424</v>
      </c>
      <c r="E834">
        <v>98.365676105082628</v>
      </c>
      <c r="F834">
        <v>7.8270682724606075</v>
      </c>
      <c r="G834">
        <v>6.9415140048130004</v>
      </c>
      <c r="H834">
        <v>0.9325796968170712</v>
      </c>
    </row>
    <row r="835" spans="1:8" x14ac:dyDescent="0.3">
      <c r="A835">
        <f t="shared" si="12"/>
        <v>775</v>
      </c>
      <c r="B835">
        <v>18071699.468294397</v>
      </c>
      <c r="C835">
        <v>120001.77159172585</v>
      </c>
      <c r="D835">
        <v>236.30697990582519</v>
      </c>
      <c r="E835">
        <v>86.113352470964784</v>
      </c>
      <c r="F835">
        <v>7.8798739775937356</v>
      </c>
      <c r="G835">
        <v>12.740639985855669</v>
      </c>
      <c r="H835">
        <v>1.105797312498296</v>
      </c>
    </row>
    <row r="836" spans="1:8" x14ac:dyDescent="0.3">
      <c r="A836">
        <f t="shared" si="12"/>
        <v>776</v>
      </c>
      <c r="B836">
        <v>23241577.911752626</v>
      </c>
      <c r="C836">
        <v>120002.04721644758</v>
      </c>
      <c r="D836">
        <v>166.05836290538195</v>
      </c>
      <c r="E836">
        <v>124.5454321677293</v>
      </c>
      <c r="F836">
        <v>2.2512773803194737</v>
      </c>
      <c r="G836">
        <v>10.074142603738554</v>
      </c>
      <c r="H836">
        <v>0.89191339357185151</v>
      </c>
    </row>
    <row r="837" spans="1:8" x14ac:dyDescent="0.3">
      <c r="A837">
        <f t="shared" si="12"/>
        <v>777</v>
      </c>
      <c r="B837">
        <v>19362397.302533887</v>
      </c>
      <c r="C837">
        <v>120004.55361144072</v>
      </c>
      <c r="D837">
        <v>200.49007098776949</v>
      </c>
      <c r="E837">
        <v>122.15534819229299</v>
      </c>
      <c r="F837">
        <v>5.8629789981150768</v>
      </c>
      <c r="G837">
        <v>4.3525036829812667</v>
      </c>
      <c r="H837">
        <v>0.92444003333335245</v>
      </c>
    </row>
    <row r="838" spans="1:8" x14ac:dyDescent="0.3">
      <c r="A838">
        <f t="shared" si="12"/>
        <v>778</v>
      </c>
      <c r="B838">
        <v>11547866.419027314</v>
      </c>
      <c r="C838">
        <v>120001.84408475737</v>
      </c>
      <c r="D838">
        <v>275.15583806140489</v>
      </c>
      <c r="E838">
        <v>105.96477277590215</v>
      </c>
      <c r="F838">
        <v>3.7912576530573867</v>
      </c>
      <c r="G838">
        <v>13.050854169791567</v>
      </c>
      <c r="H838">
        <v>1.1501237749972923</v>
      </c>
    </row>
    <row r="839" spans="1:8" x14ac:dyDescent="0.3">
      <c r="A839">
        <f t="shared" si="12"/>
        <v>779</v>
      </c>
      <c r="B839">
        <v>19590528.51811891</v>
      </c>
      <c r="C839">
        <v>119999.3394348625</v>
      </c>
      <c r="D839">
        <v>189.06084000226758</v>
      </c>
      <c r="E839">
        <v>125.3571508951039</v>
      </c>
      <c r="F839">
        <v>7.8998716114324701</v>
      </c>
      <c r="G839">
        <v>10.787583543968285</v>
      </c>
      <c r="H839">
        <v>0.91458328928696542</v>
      </c>
    </row>
    <row r="840" spans="1:8" x14ac:dyDescent="0.3">
      <c r="A840">
        <f t="shared" si="12"/>
        <v>780</v>
      </c>
      <c r="B840">
        <v>23535381.353289254</v>
      </c>
      <c r="C840">
        <v>120002.07104947671</v>
      </c>
      <c r="D840">
        <v>169.28793307079485</v>
      </c>
      <c r="E840">
        <v>113.6231132008219</v>
      </c>
      <c r="F840">
        <v>5.2343022587011321</v>
      </c>
      <c r="G840">
        <v>8.5340880354391135</v>
      </c>
      <c r="H840">
        <v>0.97210530263919082</v>
      </c>
    </row>
    <row r="841" spans="1:8" x14ac:dyDescent="0.3">
      <c r="A841">
        <f t="shared" si="12"/>
        <v>781</v>
      </c>
      <c r="B841">
        <v>16207650.096063524</v>
      </c>
      <c r="C841">
        <v>119999.50382404236</v>
      </c>
      <c r="D841">
        <v>214.92389886023872</v>
      </c>
      <c r="E841">
        <v>125.51557127278643</v>
      </c>
      <c r="F841">
        <v>8.1938796377223326</v>
      </c>
      <c r="G841">
        <v>9.8011120132520784</v>
      </c>
      <c r="H841">
        <v>0.98665446834420045</v>
      </c>
    </row>
    <row r="842" spans="1:8" x14ac:dyDescent="0.3">
      <c r="A842">
        <f t="shared" si="12"/>
        <v>782</v>
      </c>
      <c r="B842">
        <v>13119728.494084582</v>
      </c>
      <c r="C842">
        <v>119996.71607055361</v>
      </c>
      <c r="D842">
        <v>253.39294058190612</v>
      </c>
      <c r="E842">
        <v>116.95064522501414</v>
      </c>
      <c r="F842">
        <v>5.341459167782836</v>
      </c>
      <c r="G842">
        <v>10.239134329845562</v>
      </c>
      <c r="H842">
        <v>1.0541482507948901</v>
      </c>
    </row>
    <row r="843" spans="1:8" x14ac:dyDescent="0.3">
      <c r="A843">
        <f t="shared" si="12"/>
        <v>783</v>
      </c>
      <c r="B843">
        <v>29535873.197568282</v>
      </c>
      <c r="C843">
        <v>120007.29222655392</v>
      </c>
      <c r="D843">
        <v>129.89420805529869</v>
      </c>
      <c r="E843">
        <v>95.114956007454325</v>
      </c>
      <c r="F843">
        <v>9.6993055930213412</v>
      </c>
      <c r="G843">
        <v>12.694666792626261</v>
      </c>
      <c r="H843">
        <v>0.92445651532476658</v>
      </c>
    </row>
    <row r="844" spans="1:8" x14ac:dyDescent="0.3">
      <c r="A844">
        <f t="shared" si="12"/>
        <v>784</v>
      </c>
      <c r="B844">
        <v>13317794.704573542</v>
      </c>
      <c r="C844">
        <v>119997.05632739553</v>
      </c>
      <c r="D844">
        <v>224.88783388413827</v>
      </c>
      <c r="E844">
        <v>139.78289476991</v>
      </c>
      <c r="F844">
        <v>6.1132108750800516</v>
      </c>
      <c r="G844">
        <v>12.489050073748231</v>
      </c>
      <c r="H844">
        <v>1.1017147051821288</v>
      </c>
    </row>
    <row r="845" spans="1:8" x14ac:dyDescent="0.3">
      <c r="A845">
        <f t="shared" si="12"/>
        <v>785</v>
      </c>
      <c r="B845">
        <v>15012251.082759716</v>
      </c>
      <c r="C845">
        <v>120003.13073841071</v>
      </c>
      <c r="D845">
        <v>220.83909758698866</v>
      </c>
      <c r="E845">
        <v>132.51834147331525</v>
      </c>
      <c r="F845">
        <v>4.1873691792097798</v>
      </c>
      <c r="G845">
        <v>9.98230646025387</v>
      </c>
      <c r="H845">
        <v>1.0392081034243763</v>
      </c>
    </row>
    <row r="846" spans="1:8" x14ac:dyDescent="0.3">
      <c r="A846">
        <f t="shared" si="12"/>
        <v>786</v>
      </c>
      <c r="B846">
        <v>19714981.395739071</v>
      </c>
      <c r="C846">
        <v>119997.66507680855</v>
      </c>
      <c r="D846">
        <v>206.75019345132682</v>
      </c>
      <c r="E846">
        <v>106.46168769262782</v>
      </c>
      <c r="F846">
        <v>5.9998581842386605</v>
      </c>
      <c r="G846">
        <v>9.2783247356155965</v>
      </c>
      <c r="H846">
        <v>0.83138913224813393</v>
      </c>
    </row>
    <row r="847" spans="1:8" x14ac:dyDescent="0.3">
      <c r="A847">
        <f t="shared" si="12"/>
        <v>787</v>
      </c>
      <c r="B847">
        <v>20047599.08299046</v>
      </c>
      <c r="C847">
        <v>120005.76840989567</v>
      </c>
      <c r="D847">
        <v>217.5240387281471</v>
      </c>
      <c r="E847">
        <v>88.459168819331225</v>
      </c>
      <c r="F847">
        <v>6.716992293961666</v>
      </c>
      <c r="G847">
        <v>11.246400836214335</v>
      </c>
      <c r="H847">
        <v>1.050820390935737</v>
      </c>
    </row>
    <row r="848" spans="1:8" x14ac:dyDescent="0.3">
      <c r="A848">
        <f t="shared" si="12"/>
        <v>788</v>
      </c>
      <c r="B848">
        <v>16391785.223586075</v>
      </c>
      <c r="C848">
        <v>120000.47724885965</v>
      </c>
      <c r="D848">
        <v>257.36411593223818</v>
      </c>
      <c r="E848">
        <v>84.114588806138258</v>
      </c>
      <c r="F848">
        <v>7.6448486258326351</v>
      </c>
      <c r="G848">
        <v>11.159226390168733</v>
      </c>
      <c r="H848">
        <v>1.0314600523495898</v>
      </c>
    </row>
    <row r="849" spans="1:8" x14ac:dyDescent="0.3">
      <c r="A849">
        <f t="shared" si="12"/>
        <v>789</v>
      </c>
      <c r="B849">
        <v>25414697.293851621</v>
      </c>
      <c r="C849">
        <v>120000.41171712821</v>
      </c>
      <c r="D849">
        <v>181.78245288351917</v>
      </c>
      <c r="E849">
        <v>87.550727881772659</v>
      </c>
      <c r="F849">
        <v>3.336058489743106</v>
      </c>
      <c r="G849">
        <v>10.517304692357776</v>
      </c>
      <c r="H849">
        <v>0.88722075019065683</v>
      </c>
    </row>
    <row r="850" spans="1:8" x14ac:dyDescent="0.3">
      <c r="A850">
        <f t="shared" si="12"/>
        <v>790</v>
      </c>
      <c r="B850">
        <v>31186780.123763315</v>
      </c>
      <c r="C850">
        <v>120002.75754336886</v>
      </c>
      <c r="D850">
        <v>106.69265375093056</v>
      </c>
      <c r="E850">
        <v>118.03804714751806</v>
      </c>
      <c r="F850">
        <v>2.3342475696567733</v>
      </c>
      <c r="G850">
        <v>8.9962417132776373</v>
      </c>
      <c r="H850">
        <v>0.92772166074873064</v>
      </c>
    </row>
    <row r="851" spans="1:8" x14ac:dyDescent="0.3">
      <c r="A851">
        <f t="shared" si="12"/>
        <v>791</v>
      </c>
      <c r="B851">
        <v>18915296.457952306</v>
      </c>
      <c r="C851">
        <v>119993.67182112327</v>
      </c>
      <c r="D851">
        <v>235.17698215119182</v>
      </c>
      <c r="E851">
        <v>88.06172499410124</v>
      </c>
      <c r="F851">
        <v>6.1213769109248055</v>
      </c>
      <c r="G851">
        <v>7.0444832868206557</v>
      </c>
      <c r="H851">
        <v>1.0988810661508841</v>
      </c>
    </row>
    <row r="852" spans="1:8" x14ac:dyDescent="0.3">
      <c r="A852">
        <f t="shared" si="12"/>
        <v>792</v>
      </c>
      <c r="B852">
        <v>13376549.143686172</v>
      </c>
      <c r="C852">
        <v>60000.154271923973</v>
      </c>
      <c r="D852">
        <v>134.97849587323012</v>
      </c>
      <c r="E852">
        <v>108.39498526762313</v>
      </c>
      <c r="F852">
        <v>8.3100254761092387</v>
      </c>
      <c r="G852">
        <v>12.884315950597109</v>
      </c>
      <c r="H852">
        <v>0.99036393127063127</v>
      </c>
    </row>
    <row r="853" spans="1:8" x14ac:dyDescent="0.3">
      <c r="A853">
        <f t="shared" si="12"/>
        <v>793</v>
      </c>
      <c r="B853">
        <v>22989776.742642835</v>
      </c>
      <c r="C853">
        <v>120003.03614615173</v>
      </c>
      <c r="D853">
        <v>188.97003718840429</v>
      </c>
      <c r="E853">
        <v>100.08144929284143</v>
      </c>
      <c r="F853">
        <v>4.869420949047603</v>
      </c>
      <c r="G853">
        <v>9.4117594041457586</v>
      </c>
      <c r="H853">
        <v>1.0436539486624186</v>
      </c>
    </row>
    <row r="854" spans="1:8" x14ac:dyDescent="0.3">
      <c r="A854">
        <f t="shared" si="12"/>
        <v>794</v>
      </c>
      <c r="B854">
        <v>9690789.9835863858</v>
      </c>
      <c r="C854">
        <v>119999.94331460772</v>
      </c>
      <c r="D854">
        <v>252.38958240541456</v>
      </c>
      <c r="E854">
        <v>143.27948053615728</v>
      </c>
      <c r="F854">
        <v>6.7398371562560344</v>
      </c>
      <c r="G854">
        <v>12.603003602838461</v>
      </c>
      <c r="H854">
        <v>1.080314865947039</v>
      </c>
    </row>
    <row r="855" spans="1:8" x14ac:dyDescent="0.3">
      <c r="A855">
        <f t="shared" si="12"/>
        <v>795</v>
      </c>
      <c r="B855">
        <v>12196769.199494496</v>
      </c>
      <c r="C855">
        <v>120001.07783892717</v>
      </c>
      <c r="D855">
        <v>271.7711985729772</v>
      </c>
      <c r="E855">
        <v>105.8670295626257</v>
      </c>
      <c r="F855">
        <v>2.8514674321361859</v>
      </c>
      <c r="G855">
        <v>12.305019212345336</v>
      </c>
      <c r="H855">
        <v>1.0610250344499186</v>
      </c>
    </row>
    <row r="856" spans="1:8" x14ac:dyDescent="0.3">
      <c r="A856">
        <f t="shared" si="12"/>
        <v>796</v>
      </c>
      <c r="B856">
        <v>22320172.213226557</v>
      </c>
      <c r="C856">
        <v>119997.84491650747</v>
      </c>
      <c r="D856">
        <v>159.22093963537756</v>
      </c>
      <c r="E856">
        <v>129.32041548159773</v>
      </c>
      <c r="F856">
        <v>2.8386305918099399</v>
      </c>
      <c r="G856">
        <v>15.2392085122342</v>
      </c>
      <c r="H856">
        <v>1.1788213326043686</v>
      </c>
    </row>
    <row r="857" spans="1:8" x14ac:dyDescent="0.3">
      <c r="A857">
        <f t="shared" si="12"/>
        <v>797</v>
      </c>
      <c r="B857">
        <v>24331679.65633307</v>
      </c>
      <c r="C857">
        <v>119998.19810346124</v>
      </c>
      <c r="D857">
        <v>181.5876117388384</v>
      </c>
      <c r="E857">
        <v>99.739037552467323</v>
      </c>
      <c r="F857">
        <v>1.8572813849617558</v>
      </c>
      <c r="G857">
        <v>4.0153179379619974</v>
      </c>
      <c r="H857">
        <v>0.99806574484310862</v>
      </c>
    </row>
    <row r="858" spans="1:8" x14ac:dyDescent="0.3">
      <c r="A858">
        <f t="shared" si="12"/>
        <v>798</v>
      </c>
      <c r="B858">
        <v>22366866.842640474</v>
      </c>
      <c r="C858">
        <v>120007.97379623892</v>
      </c>
      <c r="D858">
        <v>176.16164286544546</v>
      </c>
      <c r="E858">
        <v>110.19521404138547</v>
      </c>
      <c r="F858">
        <v>5.5975174058361636</v>
      </c>
      <c r="G858">
        <v>11.507476579071843</v>
      </c>
      <c r="H858">
        <v>0.95209674838021741</v>
      </c>
    </row>
    <row r="859" spans="1:8" x14ac:dyDescent="0.3">
      <c r="A859">
        <f t="shared" si="12"/>
        <v>799</v>
      </c>
      <c r="B859">
        <v>24707510.353648432</v>
      </c>
      <c r="C859">
        <v>120004.42532893024</v>
      </c>
      <c r="D859">
        <v>150.74125852087411</v>
      </c>
      <c r="E859">
        <v>115.66937380321947</v>
      </c>
      <c r="F859">
        <v>5.9114140301139306</v>
      </c>
      <c r="G859">
        <v>14.51261838877585</v>
      </c>
      <c r="H859">
        <v>0.90563064343229394</v>
      </c>
    </row>
    <row r="860" spans="1:8" x14ac:dyDescent="0.3">
      <c r="A860">
        <f t="shared" si="12"/>
        <v>800</v>
      </c>
      <c r="B860">
        <v>6162866.5797269121</v>
      </c>
      <c r="C860">
        <v>119997.4247550329</v>
      </c>
      <c r="D860">
        <v>283.20481427140669</v>
      </c>
      <c r="E860">
        <v>139.35826744498664</v>
      </c>
      <c r="F860">
        <v>10.14971288837925</v>
      </c>
      <c r="G860">
        <v>13.044277114618183</v>
      </c>
      <c r="H860">
        <v>0.99292558094134897</v>
      </c>
    </row>
    <row r="861" spans="1:8" x14ac:dyDescent="0.3">
      <c r="A861">
        <f t="shared" si="12"/>
        <v>801</v>
      </c>
      <c r="B861">
        <v>26941379.00456835</v>
      </c>
      <c r="C861">
        <v>119996.67516168903</v>
      </c>
      <c r="D861">
        <v>141.63306316782302</v>
      </c>
      <c r="E861">
        <v>103.96327688952641</v>
      </c>
      <c r="F861">
        <v>6.3443481643027955</v>
      </c>
      <c r="G861">
        <v>11.840875356113793</v>
      </c>
      <c r="H861">
        <v>0.88896369447727941</v>
      </c>
    </row>
    <row r="862" spans="1:8" x14ac:dyDescent="0.3">
      <c r="A862">
        <f t="shared" si="12"/>
        <v>802</v>
      </c>
      <c r="B862">
        <v>19581212.915642314</v>
      </c>
      <c r="C862">
        <v>119995.4648186788</v>
      </c>
      <c r="D862">
        <v>204.01745438703762</v>
      </c>
      <c r="E862">
        <v>110.22836372417525</v>
      </c>
      <c r="F862">
        <v>7.1712890929956732</v>
      </c>
      <c r="G862">
        <v>9.8735240067665622</v>
      </c>
      <c r="H862">
        <v>1.0687838225971553</v>
      </c>
    </row>
    <row r="863" spans="1:8" x14ac:dyDescent="0.3">
      <c r="A863">
        <f t="shared" si="12"/>
        <v>803</v>
      </c>
      <c r="B863">
        <v>22221425.774430014</v>
      </c>
      <c r="C863">
        <v>119995.90315679414</v>
      </c>
      <c r="D863">
        <v>186.903241322084</v>
      </c>
      <c r="E863">
        <v>102.28056604852024</v>
      </c>
      <c r="F863">
        <v>6.0197535452998858</v>
      </c>
      <c r="G863">
        <v>11.644317616590321</v>
      </c>
      <c r="H863">
        <v>1.0598503044770597</v>
      </c>
    </row>
    <row r="864" spans="1:8" x14ac:dyDescent="0.3">
      <c r="A864">
        <f t="shared" si="12"/>
        <v>804</v>
      </c>
      <c r="B864">
        <v>16048113.314411692</v>
      </c>
      <c r="C864">
        <v>119999.99685239047</v>
      </c>
      <c r="D864">
        <v>255.87490236321588</v>
      </c>
      <c r="E864">
        <v>95.006576548448862</v>
      </c>
      <c r="F864">
        <v>4.0003899107660512</v>
      </c>
      <c r="G864">
        <v>8.5124438140463941</v>
      </c>
      <c r="H864">
        <v>0.94118860252407455</v>
      </c>
    </row>
    <row r="865" spans="1:8" x14ac:dyDescent="0.3">
      <c r="A865">
        <f t="shared" si="12"/>
        <v>805</v>
      </c>
      <c r="B865">
        <v>30622141.136342343</v>
      </c>
      <c r="C865">
        <v>120003.4542288485</v>
      </c>
      <c r="D865">
        <v>112.08182244544058</v>
      </c>
      <c r="E865">
        <v>116.301443061284</v>
      </c>
      <c r="F865">
        <v>1.807000574205393</v>
      </c>
      <c r="G865">
        <v>9.1496028373406091</v>
      </c>
      <c r="H865">
        <v>0.78647422362353325</v>
      </c>
    </row>
    <row r="866" spans="1:8" x14ac:dyDescent="0.3">
      <c r="A866">
        <f t="shared" si="12"/>
        <v>806</v>
      </c>
      <c r="B866">
        <v>21990739.498827383</v>
      </c>
      <c r="C866">
        <v>119995.4185080209</v>
      </c>
      <c r="D866">
        <v>187.84722487989646</v>
      </c>
      <c r="E866">
        <v>99.381164658978008</v>
      </c>
      <c r="F866">
        <v>7.8745353891352696</v>
      </c>
      <c r="G866">
        <v>16.793540537266871</v>
      </c>
      <c r="H866">
        <v>0.95481121183437467</v>
      </c>
    </row>
    <row r="867" spans="1:8" x14ac:dyDescent="0.3">
      <c r="A867">
        <f t="shared" si="12"/>
        <v>807</v>
      </c>
      <c r="B867">
        <v>28364277.190017674</v>
      </c>
      <c r="C867">
        <v>120002.42899162183</v>
      </c>
      <c r="D867">
        <v>159.57923938517865</v>
      </c>
      <c r="E867">
        <v>81.259488195123453</v>
      </c>
      <c r="F867">
        <v>1.1734600023002981</v>
      </c>
      <c r="G867">
        <v>8.8017913016465936</v>
      </c>
      <c r="H867">
        <v>0.87535522844015135</v>
      </c>
    </row>
    <row r="868" spans="1:8" x14ac:dyDescent="0.3">
      <c r="A868">
        <f t="shared" si="12"/>
        <v>808</v>
      </c>
      <c r="B868">
        <v>21815592.764646418</v>
      </c>
      <c r="C868">
        <v>119994.50968096389</v>
      </c>
      <c r="D868">
        <v>201.25239341896045</v>
      </c>
      <c r="E868">
        <v>98.941057391649082</v>
      </c>
      <c r="F868">
        <v>7.6045732635006944</v>
      </c>
      <c r="G868">
        <v>5.0929756952930409</v>
      </c>
      <c r="H868">
        <v>0.94421390387587478</v>
      </c>
    </row>
    <row r="869" spans="1:8" x14ac:dyDescent="0.3">
      <c r="A869">
        <f t="shared" si="12"/>
        <v>809</v>
      </c>
      <c r="B869">
        <v>21189610.750905626</v>
      </c>
      <c r="C869">
        <v>120000.57772383855</v>
      </c>
      <c r="D869">
        <v>176.18069110200437</v>
      </c>
      <c r="E869">
        <v>127.16180394121625</v>
      </c>
      <c r="F869">
        <v>7.1053248932854096</v>
      </c>
      <c r="G869">
        <v>7.1790841350912391</v>
      </c>
      <c r="H869">
        <v>0.99796971017482183</v>
      </c>
    </row>
    <row r="870" spans="1:8" x14ac:dyDescent="0.3">
      <c r="A870">
        <f t="shared" si="12"/>
        <v>810</v>
      </c>
      <c r="B870">
        <v>23234541.776449651</v>
      </c>
      <c r="C870">
        <v>119996.58405858651</v>
      </c>
      <c r="D870">
        <v>177.000542840766</v>
      </c>
      <c r="E870">
        <v>107.77112180858251</v>
      </c>
      <c r="F870">
        <v>4.0621949576406813</v>
      </c>
      <c r="G870">
        <v>9.303455234752029</v>
      </c>
      <c r="H870">
        <v>0.94145238423500943</v>
      </c>
    </row>
    <row r="871" spans="1:8" x14ac:dyDescent="0.3">
      <c r="A871">
        <f t="shared" si="12"/>
        <v>811</v>
      </c>
      <c r="B871">
        <v>36906387.772113279</v>
      </c>
      <c r="C871">
        <v>119997.43142067442</v>
      </c>
      <c r="D871">
        <v>80.558402386084637</v>
      </c>
      <c r="E871">
        <v>79.211129941048029</v>
      </c>
      <c r="F871">
        <v>5.8338327571741528</v>
      </c>
      <c r="G871">
        <v>9.9675366432096446</v>
      </c>
      <c r="H871">
        <v>1.0111583689872095</v>
      </c>
    </row>
    <row r="872" spans="1:8" x14ac:dyDescent="0.3">
      <c r="A872">
        <f t="shared" si="12"/>
        <v>812</v>
      </c>
      <c r="B872">
        <v>26956220.002620619</v>
      </c>
      <c r="C872">
        <v>120004.01718647753</v>
      </c>
      <c r="D872">
        <v>168.00648228272726</v>
      </c>
      <c r="E872">
        <v>76.61918721936658</v>
      </c>
      <c r="F872">
        <v>8.4545542800902034</v>
      </c>
      <c r="G872">
        <v>15.029382964566729</v>
      </c>
      <c r="H872">
        <v>0.95268354636702501</v>
      </c>
    </row>
    <row r="873" spans="1:8" x14ac:dyDescent="0.3">
      <c r="A873">
        <f t="shared" si="12"/>
        <v>813</v>
      </c>
      <c r="B873">
        <v>18939452.390740968</v>
      </c>
      <c r="C873">
        <v>119995.46673979846</v>
      </c>
      <c r="D873">
        <v>231.50693225209073</v>
      </c>
      <c r="E873">
        <v>96.592614587960242</v>
      </c>
      <c r="F873">
        <v>1.9910791895360451</v>
      </c>
      <c r="G873">
        <v>6.2426143218500991</v>
      </c>
      <c r="H873">
        <v>0.98387457549635993</v>
      </c>
    </row>
    <row r="874" spans="1:8" x14ac:dyDescent="0.3">
      <c r="A874">
        <f t="shared" si="12"/>
        <v>814</v>
      </c>
      <c r="B874">
        <v>22503116.485607892</v>
      </c>
      <c r="C874">
        <v>120001.62486908332</v>
      </c>
      <c r="D874">
        <v>218.61755179461366</v>
      </c>
      <c r="E874">
        <v>74.9461436526326</v>
      </c>
      <c r="F874">
        <v>4.5809246569718152</v>
      </c>
      <c r="G874">
        <v>11.219749660723648</v>
      </c>
      <c r="H874">
        <v>0.93411996044607981</v>
      </c>
    </row>
    <row r="875" spans="1:8" x14ac:dyDescent="0.3">
      <c r="A875">
        <f t="shared" si="12"/>
        <v>815</v>
      </c>
      <c r="B875">
        <v>25606501.066380024</v>
      </c>
      <c r="C875">
        <v>120002.19123933846</v>
      </c>
      <c r="D875">
        <v>174.02998490115985</v>
      </c>
      <c r="E875">
        <v>97.125618388750098</v>
      </c>
      <c r="F875">
        <v>1.803869427529869</v>
      </c>
      <c r="G875">
        <v>9.8631335216587086</v>
      </c>
      <c r="H875">
        <v>0.90388634825649006</v>
      </c>
    </row>
    <row r="876" spans="1:8" x14ac:dyDescent="0.3">
      <c r="A876">
        <f t="shared" si="12"/>
        <v>816</v>
      </c>
      <c r="B876">
        <v>21546127.702274919</v>
      </c>
      <c r="C876">
        <v>119997.82920189803</v>
      </c>
      <c r="D876">
        <v>219.0868390142424</v>
      </c>
      <c r="E876">
        <v>68.642411011326359</v>
      </c>
      <c r="F876">
        <v>10.577598499001725</v>
      </c>
      <c r="G876">
        <v>12.144017711030473</v>
      </c>
      <c r="H876">
        <v>0.91615309151765412</v>
      </c>
    </row>
    <row r="877" spans="1:8" x14ac:dyDescent="0.3">
      <c r="A877">
        <f t="shared" si="12"/>
        <v>817</v>
      </c>
      <c r="B877">
        <v>25696372.936376896</v>
      </c>
      <c r="C877">
        <v>119997.57630587033</v>
      </c>
      <c r="D877">
        <v>175.3982296462714</v>
      </c>
      <c r="E877">
        <v>90.434629472468089</v>
      </c>
      <c r="F877">
        <v>3.3188658590596192</v>
      </c>
      <c r="G877">
        <v>6.7505069687819592</v>
      </c>
      <c r="H877">
        <v>0.84683602001894309</v>
      </c>
    </row>
    <row r="878" spans="1:8" x14ac:dyDescent="0.3">
      <c r="A878">
        <f t="shared" si="12"/>
        <v>818</v>
      </c>
      <c r="B878">
        <v>14617509.925224863</v>
      </c>
      <c r="C878">
        <v>119992.52126906837</v>
      </c>
      <c r="D878">
        <v>268.54200067247103</v>
      </c>
      <c r="E878">
        <v>91.360538773540029</v>
      </c>
      <c r="F878">
        <v>2.3926882828771308</v>
      </c>
      <c r="G878">
        <v>13.339016315537561</v>
      </c>
      <c r="H878">
        <v>1.031360800910512</v>
      </c>
    </row>
    <row r="879" spans="1:8" x14ac:dyDescent="0.3">
      <c r="A879">
        <f t="shared" si="12"/>
        <v>819</v>
      </c>
      <c r="B879">
        <v>20307895.372707367</v>
      </c>
      <c r="C879">
        <v>119997.51536405549</v>
      </c>
      <c r="D879">
        <v>217.15752997274734</v>
      </c>
      <c r="E879">
        <v>81.305821539203578</v>
      </c>
      <c r="F879">
        <v>5.9790422394566605</v>
      </c>
      <c r="G879">
        <v>16.510721504411812</v>
      </c>
      <c r="H879">
        <v>0.97566419716918473</v>
      </c>
    </row>
    <row r="880" spans="1:8" x14ac:dyDescent="0.3">
      <c r="A880">
        <f t="shared" si="12"/>
        <v>820</v>
      </c>
      <c r="B880">
        <v>17399795.815380298</v>
      </c>
      <c r="C880">
        <v>120003.07087153182</v>
      </c>
      <c r="D880">
        <v>215.02332546063585</v>
      </c>
      <c r="E880">
        <v>121.78131877015224</v>
      </c>
      <c r="F880">
        <v>2.4194720325899053</v>
      </c>
      <c r="G880">
        <v>9.1362532677012069</v>
      </c>
      <c r="H880">
        <v>0.97701773704158745</v>
      </c>
    </row>
    <row r="881" spans="1:8" x14ac:dyDescent="0.3">
      <c r="A881">
        <f t="shared" si="12"/>
        <v>821</v>
      </c>
      <c r="B881">
        <v>15655614.819162622</v>
      </c>
      <c r="C881">
        <v>119995.34666209712</v>
      </c>
      <c r="D881">
        <v>219.96532278193902</v>
      </c>
      <c r="E881">
        <v>134.84389670303491</v>
      </c>
      <c r="F881">
        <v>1.951299742714407</v>
      </c>
      <c r="G881">
        <v>10.055450624968152</v>
      </c>
      <c r="H881">
        <v>1.0152356107417022</v>
      </c>
    </row>
    <row r="882" spans="1:8" x14ac:dyDescent="0.3">
      <c r="A882">
        <f t="shared" si="12"/>
        <v>822</v>
      </c>
      <c r="B882">
        <v>20949810.137779988</v>
      </c>
      <c r="C882">
        <v>120005.10555663999</v>
      </c>
      <c r="D882">
        <v>204.3190218141489</v>
      </c>
      <c r="E882">
        <v>100.23944867517872</v>
      </c>
      <c r="F882">
        <v>2.3201200967500188</v>
      </c>
      <c r="G882">
        <v>10.167672747706927</v>
      </c>
      <c r="H882">
        <v>1.0002287351054679</v>
      </c>
    </row>
    <row r="883" spans="1:8" x14ac:dyDescent="0.3">
      <c r="A883">
        <f t="shared" si="12"/>
        <v>823</v>
      </c>
      <c r="B883">
        <v>15003810.291267574</v>
      </c>
      <c r="C883">
        <v>119993.8002296777</v>
      </c>
      <c r="D883">
        <v>201.77234598264269</v>
      </c>
      <c r="E883">
        <v>154.19412635837324</v>
      </c>
      <c r="F883">
        <v>4.6073820287043254</v>
      </c>
      <c r="G883">
        <v>7.282043756373497</v>
      </c>
      <c r="H883">
        <v>0.86067558772329955</v>
      </c>
    </row>
    <row r="884" spans="1:8" x14ac:dyDescent="0.3">
      <c r="A884">
        <f t="shared" si="12"/>
        <v>824</v>
      </c>
      <c r="B884">
        <v>10837357.445922062</v>
      </c>
      <c r="C884">
        <v>119999.2928959889</v>
      </c>
      <c r="D884">
        <v>276.35455926804349</v>
      </c>
      <c r="E884">
        <v>118.21025481851828</v>
      </c>
      <c r="F884">
        <v>3.1306626206205594</v>
      </c>
      <c r="G884">
        <v>9.5071198710645159</v>
      </c>
      <c r="H884">
        <v>1.0740928902668754</v>
      </c>
    </row>
    <row r="885" spans="1:8" x14ac:dyDescent="0.3">
      <c r="A885">
        <f t="shared" si="12"/>
        <v>825</v>
      </c>
      <c r="B885">
        <v>24064096.633454889</v>
      </c>
      <c r="C885">
        <v>120000.20262323212</v>
      </c>
      <c r="D885">
        <v>171.79232796846236</v>
      </c>
      <c r="E885">
        <v>100.7172912046866</v>
      </c>
      <c r="F885">
        <v>4.1383875101753151</v>
      </c>
      <c r="G885">
        <v>17.056463585365137</v>
      </c>
      <c r="H885">
        <v>1.0382476186578351</v>
      </c>
    </row>
    <row r="886" spans="1:8" x14ac:dyDescent="0.3">
      <c r="A886">
        <f t="shared" si="12"/>
        <v>826</v>
      </c>
      <c r="B886">
        <v>21368181.709090412</v>
      </c>
      <c r="C886">
        <v>119996.37948309776</v>
      </c>
      <c r="D886">
        <v>201.00089439175682</v>
      </c>
      <c r="E886">
        <v>103.9687451560176</v>
      </c>
      <c r="F886">
        <v>1.6685414279059629</v>
      </c>
      <c r="G886">
        <v>7.065911252406238</v>
      </c>
      <c r="H886">
        <v>0.86939839418743303</v>
      </c>
    </row>
    <row r="887" spans="1:8" x14ac:dyDescent="0.3">
      <c r="A887">
        <f t="shared" si="12"/>
        <v>827</v>
      </c>
      <c r="B887">
        <v>7425540.3648028448</v>
      </c>
      <c r="C887">
        <v>119997.51291095758</v>
      </c>
      <c r="D887">
        <v>290.99692013434861</v>
      </c>
      <c r="E887">
        <v>136.72132035143574</v>
      </c>
      <c r="F887">
        <v>2.0570852662343602</v>
      </c>
      <c r="G887">
        <v>5.9123423287811718</v>
      </c>
      <c r="H887">
        <v>1.0944256627836602</v>
      </c>
    </row>
    <row r="888" spans="1:8" x14ac:dyDescent="0.3">
      <c r="A888">
        <f t="shared" si="12"/>
        <v>828</v>
      </c>
      <c r="B888">
        <v>22959627.03745085</v>
      </c>
      <c r="C888">
        <v>119998.75285991552</v>
      </c>
      <c r="D888">
        <v>208.82963554954065</v>
      </c>
      <c r="E888">
        <v>86.373382711678843</v>
      </c>
      <c r="F888">
        <v>1.8496245000071361</v>
      </c>
      <c r="G888">
        <v>6.728379949767155</v>
      </c>
      <c r="H888">
        <v>0.88681558083018619</v>
      </c>
    </row>
    <row r="889" spans="1:8" x14ac:dyDescent="0.3">
      <c r="A889">
        <f t="shared" si="12"/>
        <v>829</v>
      </c>
      <c r="B889">
        <v>21132423.52984722</v>
      </c>
      <c r="C889">
        <v>119996.21568456045</v>
      </c>
      <c r="D889">
        <v>186.67744727800098</v>
      </c>
      <c r="E889">
        <v>116.71840869925623</v>
      </c>
      <c r="F889">
        <v>7.2668414185846215</v>
      </c>
      <c r="G889">
        <v>10.395312311814054</v>
      </c>
      <c r="H889">
        <v>0.86681169769296174</v>
      </c>
    </row>
    <row r="890" spans="1:8" x14ac:dyDescent="0.3">
      <c r="A890">
        <f t="shared" si="12"/>
        <v>830</v>
      </c>
      <c r="B890">
        <v>15539210.347393595</v>
      </c>
      <c r="C890">
        <v>120000.59408319324</v>
      </c>
      <c r="D890">
        <v>236.12662963829123</v>
      </c>
      <c r="E890">
        <v>118.20248605821186</v>
      </c>
      <c r="F890">
        <v>0.70361474207635499</v>
      </c>
      <c r="G890">
        <v>11.407378353210623</v>
      </c>
      <c r="H890">
        <v>0.98621502684580387</v>
      </c>
    </row>
    <row r="891" spans="1:8" x14ac:dyDescent="0.3">
      <c r="A891">
        <f t="shared" si="12"/>
        <v>831</v>
      </c>
      <c r="B891">
        <v>14100725.044907972</v>
      </c>
      <c r="C891">
        <v>120000.73112952997</v>
      </c>
      <c r="D891">
        <v>268.42832976633366</v>
      </c>
      <c r="E891">
        <v>100.6408338676936</v>
      </c>
      <c r="F891">
        <v>5.4943588460758344</v>
      </c>
      <c r="G891">
        <v>3.8709602044815927</v>
      </c>
      <c r="H891">
        <v>1.019588200127445</v>
      </c>
    </row>
    <row r="892" spans="1:8" x14ac:dyDescent="0.3">
      <c r="A892">
        <f t="shared" si="12"/>
        <v>832</v>
      </c>
      <c r="B892">
        <v>7886762.2489550225</v>
      </c>
      <c r="C892">
        <v>59999.771009982411</v>
      </c>
      <c r="D892">
        <v>256.2394017900582</v>
      </c>
      <c r="E892">
        <v>88.455148609345144</v>
      </c>
      <c r="F892">
        <v>2.5363111430256278</v>
      </c>
      <c r="G892">
        <v>14.37937147728139</v>
      </c>
      <c r="H892">
        <v>1.0587616834457261</v>
      </c>
    </row>
    <row r="893" spans="1:8" x14ac:dyDescent="0.3">
      <c r="A893">
        <f t="shared" si="12"/>
        <v>833</v>
      </c>
      <c r="B893">
        <v>23706567.948014572</v>
      </c>
      <c r="C893">
        <v>120004.47923338023</v>
      </c>
      <c r="D893">
        <v>179.53479887205035</v>
      </c>
      <c r="E893">
        <v>98.487087340030072</v>
      </c>
      <c r="F893">
        <v>6.4360050596162184</v>
      </c>
      <c r="G893">
        <v>7.1663301733162763</v>
      </c>
      <c r="H893">
        <v>1.0611339576879686</v>
      </c>
    </row>
    <row r="894" spans="1:8" x14ac:dyDescent="0.3">
      <c r="A894">
        <f t="shared" si="12"/>
        <v>834</v>
      </c>
      <c r="B894">
        <v>6214781.8382752761</v>
      </c>
      <c r="C894">
        <v>120000.64507662372</v>
      </c>
      <c r="D894">
        <v>337.05739853395727</v>
      </c>
      <c r="E894">
        <v>96.472333485287734</v>
      </c>
      <c r="F894">
        <v>6.5048694857230185</v>
      </c>
      <c r="G894">
        <v>5.0276309644241373</v>
      </c>
      <c r="H894">
        <v>1.1413156243248381</v>
      </c>
    </row>
    <row r="895" spans="1:8" x14ac:dyDescent="0.3">
      <c r="A895">
        <f t="shared" ref="A895:A958" si="13">A894+1</f>
        <v>835</v>
      </c>
      <c r="B895">
        <v>15130466.969431289</v>
      </c>
      <c r="C895">
        <v>120006.13281524615</v>
      </c>
      <c r="D895">
        <v>256.94860315636612</v>
      </c>
      <c r="E895">
        <v>90.379186865695104</v>
      </c>
      <c r="F895">
        <v>7.9797123692100413</v>
      </c>
      <c r="G895">
        <v>11.886241470310356</v>
      </c>
      <c r="H895">
        <v>0.96181793887989264</v>
      </c>
    </row>
    <row r="896" spans="1:8" x14ac:dyDescent="0.3">
      <c r="A896">
        <f t="shared" si="13"/>
        <v>836</v>
      </c>
      <c r="B896">
        <v>21786972.750245705</v>
      </c>
      <c r="C896">
        <v>119999.57164322164</v>
      </c>
      <c r="D896">
        <v>201.94696850418316</v>
      </c>
      <c r="E896">
        <v>101.68440251325389</v>
      </c>
      <c r="F896">
        <v>3.9931591341758104</v>
      </c>
      <c r="G896">
        <v>5.225724402025218</v>
      </c>
      <c r="H896">
        <v>1.1442845131950286</v>
      </c>
    </row>
    <row r="897" spans="1:8" x14ac:dyDescent="0.3">
      <c r="A897">
        <f t="shared" si="13"/>
        <v>837</v>
      </c>
      <c r="B897">
        <v>26279973.594677303</v>
      </c>
      <c r="C897">
        <v>119993.75981048349</v>
      </c>
      <c r="D897">
        <v>161.93985758389707</v>
      </c>
      <c r="E897">
        <v>99.751554262346062</v>
      </c>
      <c r="F897">
        <v>0.84355056868529843</v>
      </c>
      <c r="G897">
        <v>9.8809044565456503</v>
      </c>
      <c r="H897">
        <v>0.92378543618269859</v>
      </c>
    </row>
    <row r="898" spans="1:8" x14ac:dyDescent="0.3">
      <c r="A898">
        <f t="shared" si="13"/>
        <v>838</v>
      </c>
      <c r="B898">
        <v>14633391.563596457</v>
      </c>
      <c r="C898">
        <v>120007.37787124726</v>
      </c>
      <c r="D898">
        <v>226.55445731847257</v>
      </c>
      <c r="E898">
        <v>131.00923040753236</v>
      </c>
      <c r="F898">
        <v>7.1510245232747058</v>
      </c>
      <c r="G898">
        <v>7.9576329643285435</v>
      </c>
      <c r="H898">
        <v>0.99576953063844098</v>
      </c>
    </row>
    <row r="899" spans="1:8" x14ac:dyDescent="0.3">
      <c r="A899">
        <f t="shared" si="13"/>
        <v>839</v>
      </c>
      <c r="B899">
        <v>28859231.534810357</v>
      </c>
      <c r="C899">
        <v>119997.50942897399</v>
      </c>
      <c r="D899">
        <v>134.41078965787995</v>
      </c>
      <c r="E899">
        <v>99.530031060664072</v>
      </c>
      <c r="F899">
        <v>5.6441714527911104</v>
      </c>
      <c r="G899">
        <v>13.077176805083392</v>
      </c>
      <c r="H899">
        <v>1.0000263567218006</v>
      </c>
    </row>
    <row r="900" spans="1:8" x14ac:dyDescent="0.3">
      <c r="A900">
        <f t="shared" si="13"/>
        <v>840</v>
      </c>
      <c r="B900">
        <v>17695136.098955892</v>
      </c>
      <c r="C900">
        <v>120004.66191706447</v>
      </c>
      <c r="D900">
        <v>249.29203024370375</v>
      </c>
      <c r="E900">
        <v>89.248634657285919</v>
      </c>
      <c r="F900">
        <v>6.6850311802048408</v>
      </c>
      <c r="G900">
        <v>4.3195866772755744</v>
      </c>
      <c r="H900">
        <v>0.94132190081533929</v>
      </c>
    </row>
    <row r="901" spans="1:8" x14ac:dyDescent="0.3">
      <c r="A901">
        <f t="shared" si="13"/>
        <v>841</v>
      </c>
      <c r="B901">
        <v>17863503.983193599</v>
      </c>
      <c r="C901">
        <v>119996.60523259277</v>
      </c>
      <c r="D901">
        <v>225.52890215622105</v>
      </c>
      <c r="E901">
        <v>110.31402973610243</v>
      </c>
      <c r="F901">
        <v>2.0752430784832274</v>
      </c>
      <c r="G901">
        <v>5.5957175452267887</v>
      </c>
      <c r="H901">
        <v>1.0711683098597917</v>
      </c>
    </row>
    <row r="902" spans="1:8" x14ac:dyDescent="0.3">
      <c r="A902">
        <f t="shared" si="13"/>
        <v>842</v>
      </c>
      <c r="B902">
        <v>30173408.234571107</v>
      </c>
      <c r="C902">
        <v>119999.01888346105</v>
      </c>
      <c r="D902">
        <v>158.58079326453711</v>
      </c>
      <c r="E902">
        <v>65.812344263564853</v>
      </c>
      <c r="F902">
        <v>2.684470866875396</v>
      </c>
      <c r="G902">
        <v>11.638536560498261</v>
      </c>
      <c r="H902">
        <v>1.1934930578569312</v>
      </c>
    </row>
    <row r="903" spans="1:8" x14ac:dyDescent="0.3">
      <c r="A903">
        <f t="shared" si="13"/>
        <v>843</v>
      </c>
      <c r="B903">
        <v>24787712.716144301</v>
      </c>
      <c r="C903">
        <v>119997.00474905629</v>
      </c>
      <c r="D903">
        <v>159.85905079672065</v>
      </c>
      <c r="E903">
        <v>119.3812445157819</v>
      </c>
      <c r="F903">
        <v>0</v>
      </c>
      <c r="G903">
        <v>7.5983862325137004</v>
      </c>
      <c r="H903">
        <v>0.96317494281615246</v>
      </c>
    </row>
    <row r="904" spans="1:8" x14ac:dyDescent="0.3">
      <c r="A904">
        <f t="shared" si="13"/>
        <v>844</v>
      </c>
      <c r="B904">
        <v>23483981.086758114</v>
      </c>
      <c r="C904">
        <v>120000.43564688302</v>
      </c>
      <c r="D904">
        <v>188.93283578615353</v>
      </c>
      <c r="E904">
        <v>98.519101614014005</v>
      </c>
      <c r="F904">
        <v>1.9602828602329097</v>
      </c>
      <c r="G904">
        <v>6.6897016565138667</v>
      </c>
      <c r="H904">
        <v>1.0018274341197053</v>
      </c>
    </row>
    <row r="905" spans="1:8" x14ac:dyDescent="0.3">
      <c r="A905">
        <f t="shared" si="13"/>
        <v>845</v>
      </c>
      <c r="B905">
        <v>26188921.808331918</v>
      </c>
      <c r="C905">
        <v>120001.38469570554</v>
      </c>
      <c r="D905">
        <v>176.51783123282974</v>
      </c>
      <c r="E905">
        <v>74.316347071580012</v>
      </c>
      <c r="F905">
        <v>6.3799499015992609</v>
      </c>
      <c r="G905">
        <v>12.527038329039868</v>
      </c>
      <c r="H905">
        <v>1.0826099934259665</v>
      </c>
    </row>
    <row r="906" spans="1:8" x14ac:dyDescent="0.3">
      <c r="A906">
        <f t="shared" si="13"/>
        <v>846</v>
      </c>
      <c r="B906">
        <v>20627626.287899695</v>
      </c>
      <c r="C906">
        <v>120002.83434156653</v>
      </c>
      <c r="D906">
        <v>173.87695228359925</v>
      </c>
      <c r="E906">
        <v>133.7280151355107</v>
      </c>
      <c r="F906">
        <v>6.8487465246005357</v>
      </c>
      <c r="G906">
        <v>10.978547301667785</v>
      </c>
      <c r="H906">
        <v>0.92415838904532333</v>
      </c>
    </row>
    <row r="907" spans="1:8" x14ac:dyDescent="0.3">
      <c r="A907">
        <f t="shared" si="13"/>
        <v>847</v>
      </c>
      <c r="B907">
        <v>23684437.252379194</v>
      </c>
      <c r="C907">
        <v>120000.4538237486</v>
      </c>
      <c r="D907">
        <v>184.96351877823653</v>
      </c>
      <c r="E907">
        <v>90.045499329043679</v>
      </c>
      <c r="F907">
        <v>3.2555842431077382</v>
      </c>
      <c r="G907">
        <v>17.427210011403673</v>
      </c>
      <c r="H907">
        <v>1.0446969604635228</v>
      </c>
    </row>
    <row r="908" spans="1:8" x14ac:dyDescent="0.3">
      <c r="A908">
        <f t="shared" si="13"/>
        <v>848</v>
      </c>
      <c r="B908">
        <v>31126188.225445643</v>
      </c>
      <c r="C908">
        <v>119996.1983236641</v>
      </c>
      <c r="D908">
        <v>101.62379905935148</v>
      </c>
      <c r="E908">
        <v>108.38865100384504</v>
      </c>
      <c r="F908">
        <v>6.1612190713222255</v>
      </c>
      <c r="G908">
        <v>12.228213602682054</v>
      </c>
      <c r="H908">
        <v>0.9764923371727583</v>
      </c>
    </row>
    <row r="909" spans="1:8" x14ac:dyDescent="0.3">
      <c r="A909">
        <f t="shared" si="13"/>
        <v>849</v>
      </c>
      <c r="B909">
        <v>18672693.864343077</v>
      </c>
      <c r="C909">
        <v>119998.90109791492</v>
      </c>
      <c r="D909">
        <v>218.37045479818994</v>
      </c>
      <c r="E909">
        <v>105.34920637665095</v>
      </c>
      <c r="F909">
        <v>2.8735069103591098</v>
      </c>
      <c r="G909">
        <v>11.564781083758019</v>
      </c>
      <c r="H909">
        <v>1.0508395534451109</v>
      </c>
    </row>
    <row r="910" spans="1:8" x14ac:dyDescent="0.3">
      <c r="A910">
        <f t="shared" si="13"/>
        <v>850</v>
      </c>
      <c r="B910">
        <v>20355682.725777268</v>
      </c>
      <c r="C910">
        <v>120002.57783013022</v>
      </c>
      <c r="D910">
        <v>218.37280477490643</v>
      </c>
      <c r="E910">
        <v>86.722927765917433</v>
      </c>
      <c r="F910">
        <v>5.1321790239471543</v>
      </c>
      <c r="G910">
        <v>11.76734245691091</v>
      </c>
      <c r="H910">
        <v>1.0797624594583164</v>
      </c>
    </row>
    <row r="911" spans="1:8" x14ac:dyDescent="0.3">
      <c r="A911">
        <f t="shared" si="13"/>
        <v>851</v>
      </c>
      <c r="B911">
        <v>29524015.985410202</v>
      </c>
      <c r="C911">
        <v>120001.25697010184</v>
      </c>
      <c r="D911">
        <v>145.34189865347381</v>
      </c>
      <c r="E911">
        <v>91.787386621819053</v>
      </c>
      <c r="F911">
        <v>3.9543603799114995</v>
      </c>
      <c r="G911">
        <v>4.2289398603911019</v>
      </c>
      <c r="H911">
        <v>0.89134022779285937</v>
      </c>
    </row>
    <row r="912" spans="1:8" x14ac:dyDescent="0.3">
      <c r="A912">
        <f t="shared" si="13"/>
        <v>852</v>
      </c>
      <c r="B912">
        <v>22265246.486846365</v>
      </c>
      <c r="C912">
        <v>120005.23714843171</v>
      </c>
      <c r="D912">
        <v>199.74724082852373</v>
      </c>
      <c r="E912">
        <v>96.35225589456708</v>
      </c>
      <c r="F912">
        <v>1.9692944755817585</v>
      </c>
      <c r="G912">
        <v>8.8579994678060903</v>
      </c>
      <c r="H912">
        <v>0.78015880168432461</v>
      </c>
    </row>
    <row r="913" spans="1:8" x14ac:dyDescent="0.3">
      <c r="A913">
        <f t="shared" si="13"/>
        <v>853</v>
      </c>
      <c r="B913">
        <v>28229412.87144687</v>
      </c>
      <c r="C913">
        <v>120007.2853059357</v>
      </c>
      <c r="D913">
        <v>137.96634653778133</v>
      </c>
      <c r="E913">
        <v>106.57202431778634</v>
      </c>
      <c r="F913">
        <v>4.1779127472721829</v>
      </c>
      <c r="G913">
        <v>11.635718477146442</v>
      </c>
      <c r="H913">
        <v>1.0115048937441069</v>
      </c>
    </row>
    <row r="914" spans="1:8" x14ac:dyDescent="0.3">
      <c r="A914">
        <f t="shared" si="13"/>
        <v>854</v>
      </c>
      <c r="B914">
        <v>29384150.564695552</v>
      </c>
      <c r="C914">
        <v>120006.79184163264</v>
      </c>
      <c r="D914">
        <v>158.17435300805786</v>
      </c>
      <c r="E914">
        <v>71.287616606660066</v>
      </c>
      <c r="F914">
        <v>6.1140997885969819</v>
      </c>
      <c r="G914">
        <v>8.0914396213872326</v>
      </c>
      <c r="H914">
        <v>0.83961733380163905</v>
      </c>
    </row>
    <row r="915" spans="1:8" x14ac:dyDescent="0.3">
      <c r="A915">
        <f t="shared" si="13"/>
        <v>855</v>
      </c>
      <c r="B915">
        <v>20402626.483041264</v>
      </c>
      <c r="C915">
        <v>119998.14574028527</v>
      </c>
      <c r="D915">
        <v>183.2531439719136</v>
      </c>
      <c r="E915">
        <v>125.55959622844748</v>
      </c>
      <c r="F915">
        <v>3.0227667696883951</v>
      </c>
      <c r="G915">
        <v>14.799148761851573</v>
      </c>
      <c r="H915">
        <v>1.0387693362243142</v>
      </c>
    </row>
    <row r="916" spans="1:8" x14ac:dyDescent="0.3">
      <c r="A916">
        <f t="shared" si="13"/>
        <v>856</v>
      </c>
      <c r="B916">
        <v>29800942.909580413</v>
      </c>
      <c r="C916">
        <v>119996.70026649185</v>
      </c>
      <c r="D916">
        <v>151.91279203257335</v>
      </c>
      <c r="E916">
        <v>71.284664852837892</v>
      </c>
      <c r="F916">
        <v>8.6777091644396709</v>
      </c>
      <c r="G916">
        <v>6.5431983719631912</v>
      </c>
      <c r="H916">
        <v>0.86382956636468788</v>
      </c>
    </row>
    <row r="917" spans="1:8" x14ac:dyDescent="0.3">
      <c r="A917">
        <f t="shared" si="13"/>
        <v>857</v>
      </c>
      <c r="B917">
        <v>28556821.943713907</v>
      </c>
      <c r="C917">
        <v>120003.36760229399</v>
      </c>
      <c r="D917">
        <v>140.05983918587464</v>
      </c>
      <c r="E917">
        <v>104.78223758796297</v>
      </c>
      <c r="F917">
        <v>4.4147293074057021</v>
      </c>
      <c r="G917">
        <v>8.6004458914528374</v>
      </c>
      <c r="H917">
        <v>0.98205762522230444</v>
      </c>
    </row>
    <row r="918" spans="1:8" x14ac:dyDescent="0.3">
      <c r="A918">
        <f t="shared" si="13"/>
        <v>858</v>
      </c>
      <c r="B918">
        <v>21384434.522921219</v>
      </c>
      <c r="C918">
        <v>119996.02418247463</v>
      </c>
      <c r="D918">
        <v>202.37341915401143</v>
      </c>
      <c r="E918">
        <v>102.11956919024347</v>
      </c>
      <c r="F918">
        <v>5.7979087044225679</v>
      </c>
      <c r="G918">
        <v>7.8710517854825923</v>
      </c>
      <c r="H918">
        <v>0.97722926427221624</v>
      </c>
    </row>
    <row r="919" spans="1:8" x14ac:dyDescent="0.3">
      <c r="A919">
        <f t="shared" si="13"/>
        <v>859</v>
      </c>
      <c r="B919">
        <v>28413794.879630297</v>
      </c>
      <c r="C919">
        <v>120004.0207570343</v>
      </c>
      <c r="D919">
        <v>140.48839454529929</v>
      </c>
      <c r="E919">
        <v>97.762972865996758</v>
      </c>
      <c r="F919">
        <v>6.1906214912415711</v>
      </c>
      <c r="G919">
        <v>13.116800649218499</v>
      </c>
      <c r="H919">
        <v>0.87698035156554244</v>
      </c>
    </row>
    <row r="920" spans="1:8" x14ac:dyDescent="0.3">
      <c r="A920">
        <f t="shared" si="13"/>
        <v>860</v>
      </c>
      <c r="B920">
        <v>27453432.227591269</v>
      </c>
      <c r="C920">
        <v>119995.7155389831</v>
      </c>
      <c r="D920">
        <v>151.50995014156027</v>
      </c>
      <c r="E920">
        <v>94.986516349788147</v>
      </c>
      <c r="F920">
        <v>5.2037451930392535</v>
      </c>
      <c r="G920">
        <v>9.0892938114325244</v>
      </c>
      <c r="H920">
        <v>0.89560062058003964</v>
      </c>
    </row>
    <row r="921" spans="1:8" x14ac:dyDescent="0.3">
      <c r="A921">
        <f t="shared" si="13"/>
        <v>861</v>
      </c>
      <c r="B921">
        <v>7731990.2898744792</v>
      </c>
      <c r="C921">
        <v>59998.32897115541</v>
      </c>
      <c r="D921">
        <v>259.35599827342054</v>
      </c>
      <c r="E921">
        <v>92.559358009679329</v>
      </c>
      <c r="F921">
        <v>6.1048167937178492</v>
      </c>
      <c r="G921">
        <v>9.5414750166065652</v>
      </c>
      <c r="H921">
        <v>1.0525373159996889</v>
      </c>
    </row>
    <row r="922" spans="1:8" x14ac:dyDescent="0.3">
      <c r="A922">
        <f t="shared" si="13"/>
        <v>862</v>
      </c>
      <c r="B922">
        <v>19206150.818558641</v>
      </c>
      <c r="C922">
        <v>119995.88769778653</v>
      </c>
      <c r="D922">
        <v>205.78528150370079</v>
      </c>
      <c r="E922">
        <v>115.71437844552123</v>
      </c>
      <c r="F922">
        <v>0.66581392184690102</v>
      </c>
      <c r="G922">
        <v>12.058939509200687</v>
      </c>
      <c r="H922">
        <v>1.1085398038455949</v>
      </c>
    </row>
    <row r="923" spans="1:8" x14ac:dyDescent="0.3">
      <c r="A923">
        <f t="shared" si="13"/>
        <v>863</v>
      </c>
      <c r="B923">
        <v>24909744.964757409</v>
      </c>
      <c r="C923">
        <v>120002.90008208145</v>
      </c>
      <c r="D923">
        <v>197.13188176383201</v>
      </c>
      <c r="E923">
        <v>77.861244251074964</v>
      </c>
      <c r="F923">
        <v>2.8784860457017478</v>
      </c>
      <c r="G923">
        <v>4.3862888070454638</v>
      </c>
      <c r="H923">
        <v>1.0103743879245293</v>
      </c>
    </row>
    <row r="924" spans="1:8" x14ac:dyDescent="0.3">
      <c r="A924">
        <f t="shared" si="13"/>
        <v>864</v>
      </c>
      <c r="B924">
        <v>29633237.70238997</v>
      </c>
      <c r="C924">
        <v>120003.78997835552</v>
      </c>
      <c r="D924">
        <v>164.47990043404479</v>
      </c>
      <c r="E924">
        <v>70.729472330826781</v>
      </c>
      <c r="F924">
        <v>2.6891297979169675</v>
      </c>
      <c r="G924">
        <v>5.9919260538056509</v>
      </c>
      <c r="H924">
        <v>0.83724485445183883</v>
      </c>
    </row>
    <row r="925" spans="1:8" x14ac:dyDescent="0.3">
      <c r="A925">
        <f t="shared" si="13"/>
        <v>865</v>
      </c>
      <c r="B925">
        <v>8111882.3508615717</v>
      </c>
      <c r="C925">
        <v>119996.9923587306</v>
      </c>
      <c r="D925">
        <v>320.88487309455166</v>
      </c>
      <c r="E925">
        <v>92.448974845188516</v>
      </c>
      <c r="F925">
        <v>5.1620730100951073</v>
      </c>
      <c r="G925">
        <v>11.671371747800583</v>
      </c>
      <c r="H925">
        <v>1.1341403922544353</v>
      </c>
    </row>
    <row r="926" spans="1:8" x14ac:dyDescent="0.3">
      <c r="A926">
        <f t="shared" si="13"/>
        <v>866</v>
      </c>
      <c r="B926">
        <v>20082100.139470421</v>
      </c>
      <c r="C926">
        <v>120003.12014682881</v>
      </c>
      <c r="D926">
        <v>178.90445179993674</v>
      </c>
      <c r="E926">
        <v>130.53551959245317</v>
      </c>
      <c r="F926">
        <v>3.5975363740221402</v>
      </c>
      <c r="G926">
        <v>10.340799295277389</v>
      </c>
      <c r="H926">
        <v>1.1157192431820948</v>
      </c>
    </row>
    <row r="927" spans="1:8" x14ac:dyDescent="0.3">
      <c r="A927">
        <f t="shared" si="13"/>
        <v>867</v>
      </c>
      <c r="B927">
        <v>28477875.940517075</v>
      </c>
      <c r="C927">
        <v>119998.33369383217</v>
      </c>
      <c r="D927">
        <v>124.58773189785401</v>
      </c>
      <c r="E927">
        <v>117.22100290697668</v>
      </c>
      <c r="F927">
        <v>6.660456817748452</v>
      </c>
      <c r="G927">
        <v>7.3223924791700705</v>
      </c>
      <c r="H927">
        <v>0.91459084192276097</v>
      </c>
    </row>
    <row r="928" spans="1:8" x14ac:dyDescent="0.3">
      <c r="A928">
        <f t="shared" si="13"/>
        <v>868</v>
      </c>
      <c r="B928">
        <v>21863259.693845935</v>
      </c>
      <c r="C928">
        <v>120003.21971216868</v>
      </c>
      <c r="D928">
        <v>198.0512856530035</v>
      </c>
      <c r="E928">
        <v>99.974731655134647</v>
      </c>
      <c r="F928">
        <v>3.7608053439736255</v>
      </c>
      <c r="G928">
        <v>7.9389399845418289</v>
      </c>
      <c r="H928">
        <v>0.97853922157572459</v>
      </c>
    </row>
    <row r="929" spans="1:8" x14ac:dyDescent="0.3">
      <c r="A929">
        <f t="shared" si="13"/>
        <v>869</v>
      </c>
      <c r="B929">
        <v>22024515.096573666</v>
      </c>
      <c r="C929">
        <v>120009.93155275706</v>
      </c>
      <c r="D929">
        <v>184.403422954441</v>
      </c>
      <c r="E929">
        <v>113.53610509373412</v>
      </c>
      <c r="F929">
        <v>3.8334352205998563</v>
      </c>
      <c r="G929">
        <v>8.8130236358932503</v>
      </c>
      <c r="H929">
        <v>1.0696878365023281</v>
      </c>
    </row>
    <row r="930" spans="1:8" x14ac:dyDescent="0.3">
      <c r="A930">
        <f t="shared" si="13"/>
        <v>870</v>
      </c>
      <c r="B930">
        <v>21885701.368059449</v>
      </c>
      <c r="C930">
        <v>119999.72347178488</v>
      </c>
      <c r="D930">
        <v>198.30694919564729</v>
      </c>
      <c r="E930">
        <v>96.069994765146674</v>
      </c>
      <c r="F930">
        <v>8.1435178454230446</v>
      </c>
      <c r="G930">
        <v>5.5689313330368746</v>
      </c>
      <c r="H930">
        <v>0.95829361013949454</v>
      </c>
    </row>
    <row r="931" spans="1:8" x14ac:dyDescent="0.3">
      <c r="A931">
        <f t="shared" si="13"/>
        <v>871</v>
      </c>
      <c r="B931">
        <v>17043143.156615518</v>
      </c>
      <c r="C931">
        <v>119994.93831111943</v>
      </c>
      <c r="D931">
        <v>222.95821736919734</v>
      </c>
      <c r="E931">
        <v>118.09756085849958</v>
      </c>
      <c r="F931">
        <v>3.9479822167588923</v>
      </c>
      <c r="G931">
        <v>9.787841063190676</v>
      </c>
      <c r="H931">
        <v>1.0176691488393268</v>
      </c>
    </row>
    <row r="932" spans="1:8" x14ac:dyDescent="0.3">
      <c r="A932">
        <f t="shared" si="13"/>
        <v>872</v>
      </c>
      <c r="B932">
        <v>36649488.702365145</v>
      </c>
      <c r="C932">
        <v>120006.60675168014</v>
      </c>
      <c r="D932">
        <v>89.363416953940543</v>
      </c>
      <c r="E932">
        <v>82.402822036530807</v>
      </c>
      <c r="F932">
        <v>4.9213481820652216</v>
      </c>
      <c r="G932">
        <v>7.5701753830837308</v>
      </c>
      <c r="H932">
        <v>0.88493356755200847</v>
      </c>
    </row>
    <row r="933" spans="1:8" x14ac:dyDescent="0.3">
      <c r="A933">
        <f t="shared" si="13"/>
        <v>873</v>
      </c>
      <c r="B933">
        <v>20992452.387985028</v>
      </c>
      <c r="C933">
        <v>119998.98657967709</v>
      </c>
      <c r="D933">
        <v>197.62929668073929</v>
      </c>
      <c r="E933">
        <v>101.03569267159995</v>
      </c>
      <c r="F933">
        <v>5.2157510626552988</v>
      </c>
      <c r="G933">
        <v>13.665344161154895</v>
      </c>
      <c r="H933">
        <v>0.93159782061331997</v>
      </c>
    </row>
    <row r="934" spans="1:8" x14ac:dyDescent="0.3">
      <c r="A934">
        <f t="shared" si="13"/>
        <v>874</v>
      </c>
      <c r="B934">
        <v>11043655.377666898</v>
      </c>
      <c r="C934">
        <v>119997.87260769213</v>
      </c>
      <c r="D934">
        <v>289.69764242745885</v>
      </c>
      <c r="E934">
        <v>95.419225246416303</v>
      </c>
      <c r="F934">
        <v>5.3852208849935082</v>
      </c>
      <c r="G934">
        <v>12.655211483835194</v>
      </c>
      <c r="H934">
        <v>1.0016967966408803</v>
      </c>
    </row>
    <row r="935" spans="1:8" x14ac:dyDescent="0.3">
      <c r="A935">
        <f t="shared" si="13"/>
        <v>875</v>
      </c>
      <c r="B935">
        <v>26594443.350126598</v>
      </c>
      <c r="C935">
        <v>119997.13196709323</v>
      </c>
      <c r="D935">
        <v>192.358061703201</v>
      </c>
      <c r="E935">
        <v>58.749746318678163</v>
      </c>
      <c r="F935">
        <v>7.4705749949463405</v>
      </c>
      <c r="G935">
        <v>8.5650774032576678</v>
      </c>
      <c r="H935">
        <v>0.89709473504727344</v>
      </c>
    </row>
    <row r="936" spans="1:8" x14ac:dyDescent="0.3">
      <c r="A936">
        <f t="shared" si="13"/>
        <v>876</v>
      </c>
      <c r="B936">
        <v>16793448.026821911</v>
      </c>
      <c r="C936">
        <v>120009.39677814516</v>
      </c>
      <c r="D936">
        <v>211.38312429072431</v>
      </c>
      <c r="E936">
        <v>131.55537596109633</v>
      </c>
      <c r="F936">
        <v>3.6406103365483196</v>
      </c>
      <c r="G936">
        <v>10.567980945600789</v>
      </c>
      <c r="H936">
        <v>1.083937454100621</v>
      </c>
    </row>
    <row r="937" spans="1:8" x14ac:dyDescent="0.3">
      <c r="A937">
        <f t="shared" si="13"/>
        <v>877</v>
      </c>
      <c r="B937">
        <v>13311227.850393392</v>
      </c>
      <c r="C937">
        <v>120004.67866512747</v>
      </c>
      <c r="D937">
        <v>214.0379109775287</v>
      </c>
      <c r="E937">
        <v>149.09384118401064</v>
      </c>
      <c r="F937">
        <v>7.078450960099989</v>
      </c>
      <c r="G937">
        <v>13.192243737265514</v>
      </c>
      <c r="H937">
        <v>1.1069119817116508</v>
      </c>
    </row>
    <row r="938" spans="1:8" x14ac:dyDescent="0.3">
      <c r="A938">
        <f t="shared" si="13"/>
        <v>878</v>
      </c>
      <c r="B938">
        <v>18606599.609297872</v>
      </c>
      <c r="C938">
        <v>119997.44950651872</v>
      </c>
      <c r="D938">
        <v>243.728134940492</v>
      </c>
      <c r="E938">
        <v>83.326518596565279</v>
      </c>
      <c r="F938">
        <v>1.6634455660143277</v>
      </c>
      <c r="G938">
        <v>12.707002684343321</v>
      </c>
      <c r="H938">
        <v>1.0414020368976535</v>
      </c>
    </row>
    <row r="939" spans="1:8" x14ac:dyDescent="0.3">
      <c r="A939">
        <f t="shared" si="13"/>
        <v>879</v>
      </c>
      <c r="B939">
        <v>28359167.818689637</v>
      </c>
      <c r="C939">
        <v>120001.63596934133</v>
      </c>
      <c r="D939">
        <v>174.11192264936949</v>
      </c>
      <c r="E939">
        <v>63.793169326820674</v>
      </c>
      <c r="F939">
        <v>6.7569731786605072</v>
      </c>
      <c r="G939">
        <v>7.921590330456814</v>
      </c>
      <c r="H939">
        <v>1.012000461409607</v>
      </c>
    </row>
    <row r="940" spans="1:8" x14ac:dyDescent="0.3">
      <c r="A940">
        <f t="shared" si="13"/>
        <v>880</v>
      </c>
      <c r="B940">
        <v>22929612.024244785</v>
      </c>
      <c r="C940">
        <v>119999.45655136732</v>
      </c>
      <c r="D940">
        <v>148.29978974940167</v>
      </c>
      <c r="E940">
        <v>140.36428822663132</v>
      </c>
      <c r="F940">
        <v>4.892910223988558</v>
      </c>
      <c r="G940">
        <v>11.853758553007797</v>
      </c>
      <c r="H940">
        <v>0.88422451577381078</v>
      </c>
    </row>
    <row r="941" spans="1:8" x14ac:dyDescent="0.3">
      <c r="A941">
        <f t="shared" si="13"/>
        <v>881</v>
      </c>
      <c r="B941">
        <v>24963509.709261488</v>
      </c>
      <c r="C941">
        <v>119999.9723462836</v>
      </c>
      <c r="D941">
        <v>145.47642747656172</v>
      </c>
      <c r="E941">
        <v>126.93662817388983</v>
      </c>
      <c r="F941">
        <v>3.6434222734461432</v>
      </c>
      <c r="G941">
        <v>7.9265308111466428</v>
      </c>
      <c r="H941">
        <v>0.93153453445927259</v>
      </c>
    </row>
    <row r="942" spans="1:8" x14ac:dyDescent="0.3">
      <c r="A942">
        <f t="shared" si="13"/>
        <v>882</v>
      </c>
      <c r="B942">
        <v>22178860.593398578</v>
      </c>
      <c r="C942">
        <v>120001.65550623251</v>
      </c>
      <c r="D942">
        <v>208.72788574385507</v>
      </c>
      <c r="E942">
        <v>84.331652847208531</v>
      </c>
      <c r="F942">
        <v>4.0191595437481213</v>
      </c>
      <c r="G942">
        <v>10.3071551279498</v>
      </c>
      <c r="H942">
        <v>0.90063407497553916</v>
      </c>
    </row>
    <row r="943" spans="1:8" x14ac:dyDescent="0.3">
      <c r="A943">
        <f t="shared" si="13"/>
        <v>883</v>
      </c>
      <c r="B943">
        <v>23709487.933240622</v>
      </c>
      <c r="C943">
        <v>119994.4992128903</v>
      </c>
      <c r="D943">
        <v>150.49438716640088</v>
      </c>
      <c r="E943">
        <v>130.86557821994609</v>
      </c>
      <c r="F943">
        <v>6.1508796369268861</v>
      </c>
      <c r="G943">
        <v>9.4836335084193841</v>
      </c>
      <c r="H943">
        <v>0.891375709011346</v>
      </c>
    </row>
    <row r="944" spans="1:8" x14ac:dyDescent="0.3">
      <c r="A944">
        <f t="shared" si="13"/>
        <v>884</v>
      </c>
      <c r="B944">
        <v>14748362.459592827</v>
      </c>
      <c r="C944">
        <v>120006.08284039711</v>
      </c>
      <c r="D944">
        <v>207.02870073943956</v>
      </c>
      <c r="E944">
        <v>155.86957780252465</v>
      </c>
      <c r="F944">
        <v>8.3216655376252753</v>
      </c>
      <c r="G944">
        <v>3.6769160249786488</v>
      </c>
      <c r="H944">
        <v>0.90170012340794736</v>
      </c>
    </row>
    <row r="945" spans="1:8" x14ac:dyDescent="0.3">
      <c r="A945">
        <f t="shared" si="13"/>
        <v>885</v>
      </c>
      <c r="B945">
        <v>15875417.570862181</v>
      </c>
      <c r="C945">
        <v>120003.23076613652</v>
      </c>
      <c r="D945">
        <v>252.74921904872363</v>
      </c>
      <c r="E945">
        <v>89.947579747418047</v>
      </c>
      <c r="F945">
        <v>6.5170693110825955</v>
      </c>
      <c r="G945">
        <v>12.44625156285408</v>
      </c>
      <c r="H945">
        <v>1.0213329310883226</v>
      </c>
    </row>
    <row r="946" spans="1:8" x14ac:dyDescent="0.3">
      <c r="A946">
        <f t="shared" si="13"/>
        <v>886</v>
      </c>
      <c r="B946">
        <v>34798897.768069327</v>
      </c>
      <c r="C946">
        <v>120000.31591640809</v>
      </c>
      <c r="D946">
        <v>94.240974974092026</v>
      </c>
      <c r="E946">
        <v>92.736102140918845</v>
      </c>
      <c r="F946">
        <v>2.6983410382373667</v>
      </c>
      <c r="G946">
        <v>10.862018165607845</v>
      </c>
      <c r="H946">
        <v>0.82144907452559357</v>
      </c>
    </row>
    <row r="947" spans="1:8" x14ac:dyDescent="0.3">
      <c r="A947">
        <f t="shared" si="13"/>
        <v>887</v>
      </c>
      <c r="B947">
        <v>22697008.371581465</v>
      </c>
      <c r="C947">
        <v>120008.63684816018</v>
      </c>
      <c r="D947">
        <v>204.95287422286384</v>
      </c>
      <c r="E947">
        <v>77.393160716978926</v>
      </c>
      <c r="F947">
        <v>4.8568442059607584</v>
      </c>
      <c r="G947">
        <v>13.572351833999583</v>
      </c>
      <c r="H947">
        <v>0.98821867902993399</v>
      </c>
    </row>
    <row r="948" spans="1:8" x14ac:dyDescent="0.3">
      <c r="A948">
        <f t="shared" si="13"/>
        <v>888</v>
      </c>
      <c r="B948">
        <v>24769161.179217488</v>
      </c>
      <c r="C948">
        <v>119999.3893784114</v>
      </c>
      <c r="D948">
        <v>189.85418235829698</v>
      </c>
      <c r="E948">
        <v>78.717166113302511</v>
      </c>
      <c r="F948">
        <v>5.6950141580835068</v>
      </c>
      <c r="G948">
        <v>12.545241898281342</v>
      </c>
      <c r="H948">
        <v>1.038498025859653</v>
      </c>
    </row>
    <row r="949" spans="1:8" x14ac:dyDescent="0.3">
      <c r="A949">
        <f t="shared" si="13"/>
        <v>889</v>
      </c>
      <c r="B949">
        <v>22855288.810971357</v>
      </c>
      <c r="C949">
        <v>119999.99625123428</v>
      </c>
      <c r="D949">
        <v>169.31980517459093</v>
      </c>
      <c r="E949">
        <v>112.71545112639934</v>
      </c>
      <c r="F949">
        <v>7.9929554349194216</v>
      </c>
      <c r="G949">
        <v>8.7631772012483964</v>
      </c>
      <c r="H949">
        <v>0.93590527199226647</v>
      </c>
    </row>
    <row r="950" spans="1:8" x14ac:dyDescent="0.3">
      <c r="A950">
        <f t="shared" si="13"/>
        <v>890</v>
      </c>
      <c r="B950">
        <v>20941795.906095505</v>
      </c>
      <c r="C950">
        <v>120001.89098823011</v>
      </c>
      <c r="D950">
        <v>186.2671975835205</v>
      </c>
      <c r="E950">
        <v>115.6327460835543</v>
      </c>
      <c r="F950">
        <v>5.9216063414033124</v>
      </c>
      <c r="G950">
        <v>12.56102248990544</v>
      </c>
      <c r="H950">
        <v>1.0103155599788947</v>
      </c>
    </row>
    <row r="951" spans="1:8" x14ac:dyDescent="0.3">
      <c r="A951">
        <f t="shared" si="13"/>
        <v>891</v>
      </c>
      <c r="B951">
        <v>26886372.506386455</v>
      </c>
      <c r="C951">
        <v>119998.38149913409</v>
      </c>
      <c r="D951">
        <v>157.51240080130202</v>
      </c>
      <c r="E951">
        <v>97.598053538199949</v>
      </c>
      <c r="F951">
        <v>3.4632432072784209</v>
      </c>
      <c r="G951">
        <v>8.9417806732173624</v>
      </c>
      <c r="H951">
        <v>0.99529595752107602</v>
      </c>
    </row>
    <row r="952" spans="1:8" x14ac:dyDescent="0.3">
      <c r="A952">
        <f t="shared" si="13"/>
        <v>892</v>
      </c>
      <c r="B952">
        <v>13465298.394902207</v>
      </c>
      <c r="C952">
        <v>120001.36004712978</v>
      </c>
      <c r="D952">
        <v>248.6191954077307</v>
      </c>
      <c r="E952">
        <v>123.64176940066666</v>
      </c>
      <c r="F952">
        <v>8.2651273688182325</v>
      </c>
      <c r="G952">
        <v>5.0700065551039151</v>
      </c>
      <c r="H952">
        <v>1.0468295610888212</v>
      </c>
    </row>
    <row r="953" spans="1:8" x14ac:dyDescent="0.3">
      <c r="A953">
        <f t="shared" si="13"/>
        <v>893</v>
      </c>
      <c r="B953">
        <v>12865068.069791412</v>
      </c>
      <c r="C953">
        <v>59998.97552504405</v>
      </c>
      <c r="D953">
        <v>176.86223809610141</v>
      </c>
      <c r="E953">
        <v>84.4483152954909</v>
      </c>
      <c r="F953">
        <v>7.2435081155322951</v>
      </c>
      <c r="G953">
        <v>11.387685959581807</v>
      </c>
      <c r="H953">
        <v>1.0743525108729011</v>
      </c>
    </row>
    <row r="954" spans="1:8" x14ac:dyDescent="0.3">
      <c r="A954">
        <f t="shared" si="13"/>
        <v>894</v>
      </c>
      <c r="B954">
        <v>27554931.94309774</v>
      </c>
      <c r="C954">
        <v>120001.40473764592</v>
      </c>
      <c r="D954">
        <v>165.44692990489963</v>
      </c>
      <c r="E954">
        <v>78.778406995301623</v>
      </c>
      <c r="F954">
        <v>5.7302369846107943</v>
      </c>
      <c r="G954">
        <v>10.024170006225575</v>
      </c>
      <c r="H954">
        <v>0.88880567837642022</v>
      </c>
    </row>
    <row r="955" spans="1:8" x14ac:dyDescent="0.3">
      <c r="A955">
        <f t="shared" si="13"/>
        <v>895</v>
      </c>
      <c r="B955">
        <v>18817013.535476863</v>
      </c>
      <c r="C955">
        <v>120005.83869668216</v>
      </c>
      <c r="D955">
        <v>200.48571080417094</v>
      </c>
      <c r="E955">
        <v>122.75110251572535</v>
      </c>
      <c r="F955">
        <v>1.142282772387671</v>
      </c>
      <c r="G955">
        <v>12.391438291036238</v>
      </c>
      <c r="H955">
        <v>0.8952077579480815</v>
      </c>
    </row>
    <row r="956" spans="1:8" x14ac:dyDescent="0.3">
      <c r="A956">
        <f t="shared" si="13"/>
        <v>896</v>
      </c>
      <c r="B956">
        <v>14061082.712453507</v>
      </c>
      <c r="C956">
        <v>120000.88345991544</v>
      </c>
      <c r="D956">
        <v>235.2429521207041</v>
      </c>
      <c r="E956">
        <v>123.06594149721563</v>
      </c>
      <c r="F956">
        <v>6.3729098626975631</v>
      </c>
      <c r="G956">
        <v>11.150888009387064</v>
      </c>
      <c r="H956">
        <v>0.97095114455385834</v>
      </c>
    </row>
    <row r="957" spans="1:8" x14ac:dyDescent="0.3">
      <c r="A957">
        <f t="shared" si="13"/>
        <v>897</v>
      </c>
      <c r="B957">
        <v>18971054.056005366</v>
      </c>
      <c r="C957">
        <v>120002.2187948051</v>
      </c>
      <c r="D957">
        <v>218.62511627517932</v>
      </c>
      <c r="E957">
        <v>108.36011535894602</v>
      </c>
      <c r="F957">
        <v>4.4925433740568979</v>
      </c>
      <c r="G957">
        <v>7.9292341521798253</v>
      </c>
      <c r="H957">
        <v>1.1440274221070055</v>
      </c>
    </row>
    <row r="958" spans="1:8" x14ac:dyDescent="0.3">
      <c r="A958">
        <f t="shared" si="13"/>
        <v>898</v>
      </c>
      <c r="B958">
        <v>21481374.849735692</v>
      </c>
      <c r="C958">
        <v>119996.48251798812</v>
      </c>
      <c r="D958">
        <v>198.86099098805832</v>
      </c>
      <c r="E958">
        <v>106.41016097338827</v>
      </c>
      <c r="F958">
        <v>6.0102383559157353</v>
      </c>
      <c r="G958">
        <v>6.5010556687012429</v>
      </c>
      <c r="H958">
        <v>0.9988957962545979</v>
      </c>
    </row>
    <row r="959" spans="1:8" x14ac:dyDescent="0.3">
      <c r="A959">
        <f t="shared" ref="A959:A1022" si="14">A958+1</f>
        <v>899</v>
      </c>
      <c r="B959">
        <v>21618936.25348825</v>
      </c>
      <c r="C959">
        <v>119997.4619360675</v>
      </c>
      <c r="D959">
        <v>221.80885428326229</v>
      </c>
      <c r="E959">
        <v>78.417798130845881</v>
      </c>
      <c r="F959">
        <v>6.0988307293376227</v>
      </c>
      <c r="G959">
        <v>9.1999646084675053</v>
      </c>
      <c r="H959">
        <v>1.0392550928063653</v>
      </c>
    </row>
    <row r="960" spans="1:8" x14ac:dyDescent="0.3">
      <c r="A960">
        <f t="shared" si="14"/>
        <v>900</v>
      </c>
      <c r="B960">
        <v>5817470.1142993122</v>
      </c>
      <c r="C960">
        <v>119999.25490321427</v>
      </c>
      <c r="D960">
        <v>329.91471794688113</v>
      </c>
      <c r="E960">
        <v>103.66332347075522</v>
      </c>
      <c r="F960">
        <v>5.8730747955495461</v>
      </c>
      <c r="G960">
        <v>9.1600142089309067</v>
      </c>
      <c r="H960">
        <v>1.1529907704656652</v>
      </c>
    </row>
    <row r="961" spans="1:8" x14ac:dyDescent="0.3">
      <c r="A961">
        <f t="shared" si="14"/>
        <v>901</v>
      </c>
      <c r="B961">
        <v>24778668.279484477</v>
      </c>
      <c r="C961">
        <v>120001.55421319194</v>
      </c>
      <c r="D961">
        <v>170.17322433518993</v>
      </c>
      <c r="E961">
        <v>92.634388263767804</v>
      </c>
      <c r="F961">
        <v>7.1771166994040314</v>
      </c>
      <c r="G961">
        <v>13.508408763004988</v>
      </c>
      <c r="H961">
        <v>1.0763761869638495</v>
      </c>
    </row>
    <row r="962" spans="1:8" x14ac:dyDescent="0.3">
      <c r="A962">
        <f t="shared" si="14"/>
        <v>902</v>
      </c>
      <c r="B962">
        <v>20916741.187051706</v>
      </c>
      <c r="C962">
        <v>120001.54769991602</v>
      </c>
      <c r="D962">
        <v>221.65463387495276</v>
      </c>
      <c r="E962">
        <v>85.578268354985113</v>
      </c>
      <c r="F962">
        <v>5.204945005821032</v>
      </c>
      <c r="G962">
        <v>7.3014348299657801</v>
      </c>
      <c r="H962">
        <v>0.94063272038900914</v>
      </c>
    </row>
    <row r="963" spans="1:8" x14ac:dyDescent="0.3">
      <c r="A963">
        <f t="shared" si="14"/>
        <v>903</v>
      </c>
      <c r="B963">
        <v>23619618.090543903</v>
      </c>
      <c r="C963">
        <v>119999.27857638044</v>
      </c>
      <c r="D963">
        <v>177.32993815945176</v>
      </c>
      <c r="E963">
        <v>107.29402254089774</v>
      </c>
      <c r="F963">
        <v>2.0097108904170509</v>
      </c>
      <c r="G963">
        <v>9.1205474449449824</v>
      </c>
      <c r="H963">
        <v>0.74487907005822251</v>
      </c>
    </row>
    <row r="964" spans="1:8" x14ac:dyDescent="0.3">
      <c r="A964">
        <f t="shared" si="14"/>
        <v>904</v>
      </c>
      <c r="B964">
        <v>26528898.717551541</v>
      </c>
      <c r="C964">
        <v>120001.37725657504</v>
      </c>
      <c r="D964">
        <v>170.73717862943261</v>
      </c>
      <c r="E964">
        <v>86.761674002134271</v>
      </c>
      <c r="F964">
        <v>6.4995944047816128</v>
      </c>
      <c r="G964">
        <v>10.262126942007527</v>
      </c>
      <c r="H964">
        <v>0.9092331053135374</v>
      </c>
    </row>
    <row r="965" spans="1:8" x14ac:dyDescent="0.3">
      <c r="A965">
        <f t="shared" si="14"/>
        <v>905</v>
      </c>
      <c r="B965">
        <v>22517869.814538904</v>
      </c>
      <c r="C965">
        <v>119996.36284123448</v>
      </c>
      <c r="D965">
        <v>139.37759067730383</v>
      </c>
      <c r="E965">
        <v>149.92277833335936</v>
      </c>
      <c r="F965">
        <v>7.8301701677162283</v>
      </c>
      <c r="G965">
        <v>9.7399897373735165</v>
      </c>
      <c r="H965">
        <v>1.074439145101211</v>
      </c>
    </row>
    <row r="966" spans="1:8" x14ac:dyDescent="0.3">
      <c r="A966">
        <f t="shared" si="14"/>
        <v>906</v>
      </c>
      <c r="B966">
        <v>14003067.637600813</v>
      </c>
      <c r="C966">
        <v>60003.714689431239</v>
      </c>
      <c r="D966">
        <v>170.45075324862825</v>
      </c>
      <c r="E966">
        <v>69.276116769578223</v>
      </c>
      <c r="F966">
        <v>5.5418325378253632</v>
      </c>
      <c r="G966">
        <v>13.56704362154483</v>
      </c>
      <c r="H966">
        <v>1.0651698520942632</v>
      </c>
    </row>
    <row r="967" spans="1:8" x14ac:dyDescent="0.3">
      <c r="A967">
        <f t="shared" si="14"/>
        <v>907</v>
      </c>
      <c r="B967">
        <v>16600153.60735476</v>
      </c>
      <c r="C967">
        <v>119994.7236247507</v>
      </c>
      <c r="D967">
        <v>247.88735787733657</v>
      </c>
      <c r="E967">
        <v>92.749418365861175</v>
      </c>
      <c r="F967">
        <v>2.7498518290492844</v>
      </c>
      <c r="G967">
        <v>10.624633810872007</v>
      </c>
      <c r="H967">
        <v>1.0004073731035559</v>
      </c>
    </row>
    <row r="968" spans="1:8" x14ac:dyDescent="0.3">
      <c r="A968">
        <f t="shared" si="14"/>
        <v>908</v>
      </c>
      <c r="B968">
        <v>17024799.058659464</v>
      </c>
      <c r="C968">
        <v>119998.5486990997</v>
      </c>
      <c r="D968">
        <v>232.43934249567494</v>
      </c>
      <c r="E968">
        <v>109.37810817159048</v>
      </c>
      <c r="F968">
        <v>3.6451467374543345</v>
      </c>
      <c r="G968">
        <v>7.9562598019107273</v>
      </c>
      <c r="H968">
        <v>1.0720270457444654</v>
      </c>
    </row>
    <row r="969" spans="1:8" x14ac:dyDescent="0.3">
      <c r="A969">
        <f t="shared" si="14"/>
        <v>909</v>
      </c>
      <c r="B969">
        <v>8685234.722244218</v>
      </c>
      <c r="C969">
        <v>119996.71253381937</v>
      </c>
      <c r="D969">
        <v>299.02608341045379</v>
      </c>
      <c r="E969">
        <v>110.65611379830254</v>
      </c>
      <c r="F969">
        <v>6.070781016533175</v>
      </c>
      <c r="G969">
        <v>8.9917022036479928</v>
      </c>
      <c r="H969">
        <v>1.2398260506072023</v>
      </c>
    </row>
    <row r="970" spans="1:8" x14ac:dyDescent="0.3">
      <c r="A970">
        <f t="shared" si="14"/>
        <v>910</v>
      </c>
      <c r="B970">
        <v>23174975.655486837</v>
      </c>
      <c r="C970">
        <v>119997.6494415551</v>
      </c>
      <c r="D970">
        <v>140.37730401264156</v>
      </c>
      <c r="E970">
        <v>136.63051704327111</v>
      </c>
      <c r="F970">
        <v>3.9087945479611284</v>
      </c>
      <c r="G970">
        <v>15.688685921011437</v>
      </c>
      <c r="H970">
        <v>0.96961847251990174</v>
      </c>
    </row>
    <row r="971" spans="1:8" x14ac:dyDescent="0.3">
      <c r="A971">
        <f t="shared" si="14"/>
        <v>911</v>
      </c>
      <c r="B971">
        <v>22570381.516316667</v>
      </c>
      <c r="C971">
        <v>120006.25889917595</v>
      </c>
      <c r="D971">
        <v>180.85988209853107</v>
      </c>
      <c r="E971">
        <v>113.67858854611826</v>
      </c>
      <c r="F971">
        <v>4.3479249684689867</v>
      </c>
      <c r="G971">
        <v>6.8450064023676234</v>
      </c>
      <c r="H971">
        <v>1.0240603132370891</v>
      </c>
    </row>
    <row r="972" spans="1:8" x14ac:dyDescent="0.3">
      <c r="A972">
        <f t="shared" si="14"/>
        <v>912</v>
      </c>
      <c r="B972">
        <v>21570426.726626754</v>
      </c>
      <c r="C972">
        <v>120004.8742462572</v>
      </c>
      <c r="D972">
        <v>199.84048794748568</v>
      </c>
      <c r="E972">
        <v>102.48560997764075</v>
      </c>
      <c r="F972">
        <v>6.1921224139316964</v>
      </c>
      <c r="G972">
        <v>7.4377730328359473</v>
      </c>
      <c r="H972">
        <v>1.0133349030733143</v>
      </c>
    </row>
    <row r="973" spans="1:8" x14ac:dyDescent="0.3">
      <c r="A973">
        <f t="shared" si="14"/>
        <v>913</v>
      </c>
      <c r="B973">
        <v>27108195.291369814</v>
      </c>
      <c r="C973">
        <v>120002.7069993675</v>
      </c>
      <c r="D973">
        <v>151.39785839750294</v>
      </c>
      <c r="E973">
        <v>94.903436838909357</v>
      </c>
      <c r="F973">
        <v>4.2225212940049088</v>
      </c>
      <c r="G973">
        <v>11.580945620373145</v>
      </c>
      <c r="H973">
        <v>1.0347190583081158</v>
      </c>
    </row>
    <row r="974" spans="1:8" x14ac:dyDescent="0.3">
      <c r="A974">
        <f t="shared" si="14"/>
        <v>914</v>
      </c>
      <c r="B974">
        <v>31873765.39774913</v>
      </c>
      <c r="C974">
        <v>120006.07911522547</v>
      </c>
      <c r="D974">
        <v>146.40955667644158</v>
      </c>
      <c r="E974">
        <v>70.382956289065419</v>
      </c>
      <c r="F974">
        <v>5.3584146775182413</v>
      </c>
      <c r="G974">
        <v>6.5996826161259818</v>
      </c>
      <c r="H974">
        <v>0.81786363637732118</v>
      </c>
    </row>
    <row r="975" spans="1:8" x14ac:dyDescent="0.3">
      <c r="A975">
        <f t="shared" si="14"/>
        <v>915</v>
      </c>
      <c r="B975">
        <v>24663153.000609335</v>
      </c>
      <c r="C975">
        <v>120000.11690095898</v>
      </c>
      <c r="D975">
        <v>151.29287060348986</v>
      </c>
      <c r="E975">
        <v>119.72947239127308</v>
      </c>
      <c r="F975">
        <v>3.108145150927645</v>
      </c>
      <c r="G975">
        <v>9.1499307389782469</v>
      </c>
      <c r="H975">
        <v>1.0668769566314793</v>
      </c>
    </row>
    <row r="976" spans="1:8" x14ac:dyDescent="0.3">
      <c r="A976">
        <f t="shared" si="14"/>
        <v>916</v>
      </c>
      <c r="B976">
        <v>17076721.192835294</v>
      </c>
      <c r="C976">
        <v>119998.5783898315</v>
      </c>
      <c r="D976">
        <v>242.36040811590007</v>
      </c>
      <c r="E976">
        <v>97.631939760465713</v>
      </c>
      <c r="F976">
        <v>3.3365063156518486</v>
      </c>
      <c r="G976">
        <v>8.4790781577946479</v>
      </c>
      <c r="H976">
        <v>1.0207696354834845</v>
      </c>
    </row>
    <row r="977" spans="1:8" x14ac:dyDescent="0.3">
      <c r="A977">
        <f t="shared" si="14"/>
        <v>917</v>
      </c>
      <c r="B977">
        <v>19391491.875340067</v>
      </c>
      <c r="C977">
        <v>120003.26742292772</v>
      </c>
      <c r="D977">
        <v>166.93923447973395</v>
      </c>
      <c r="E977">
        <v>149.15759310739094</v>
      </c>
      <c r="F977">
        <v>6.137225225812931</v>
      </c>
      <c r="G977">
        <v>11.947607741275743</v>
      </c>
      <c r="H977">
        <v>0.96128899965066861</v>
      </c>
    </row>
    <row r="978" spans="1:8" x14ac:dyDescent="0.3">
      <c r="A978">
        <f t="shared" si="14"/>
        <v>918</v>
      </c>
      <c r="B978">
        <v>19833926.747802742</v>
      </c>
      <c r="C978">
        <v>120004.31539654524</v>
      </c>
      <c r="D978">
        <v>217.98534185319488</v>
      </c>
      <c r="E978">
        <v>97.200410566297762</v>
      </c>
      <c r="F978">
        <v>2.5896175289395869</v>
      </c>
      <c r="G978">
        <v>8.5030738562402792</v>
      </c>
      <c r="H978">
        <v>0.90978151592730283</v>
      </c>
    </row>
    <row r="979" spans="1:8" x14ac:dyDescent="0.3">
      <c r="A979">
        <f t="shared" si="14"/>
        <v>919</v>
      </c>
      <c r="B979">
        <v>13201898.441248365</v>
      </c>
      <c r="C979">
        <v>119998.66230223494</v>
      </c>
      <c r="D979">
        <v>250.34131940882813</v>
      </c>
      <c r="E979">
        <v>117.96069400265019</v>
      </c>
      <c r="F979">
        <v>4.7137398548554641</v>
      </c>
      <c r="G979">
        <v>10.787177285825166</v>
      </c>
      <c r="H979">
        <v>1.1184516062702692</v>
      </c>
    </row>
    <row r="980" spans="1:8" x14ac:dyDescent="0.3">
      <c r="A980">
        <f t="shared" si="14"/>
        <v>920</v>
      </c>
      <c r="B980">
        <v>20223215.531183213</v>
      </c>
      <c r="C980">
        <v>119993.62735145944</v>
      </c>
      <c r="D980">
        <v>216.56899006284476</v>
      </c>
      <c r="E980">
        <v>91.599557100730266</v>
      </c>
      <c r="F980">
        <v>6.2604693510915501</v>
      </c>
      <c r="G980">
        <v>9.2347369158310322</v>
      </c>
      <c r="H980">
        <v>1.0122225137530758</v>
      </c>
    </row>
    <row r="981" spans="1:8" x14ac:dyDescent="0.3">
      <c r="A981">
        <f t="shared" si="14"/>
        <v>921</v>
      </c>
      <c r="B981">
        <v>25632694.037989095</v>
      </c>
      <c r="C981">
        <v>120001.19977123274</v>
      </c>
      <c r="D981">
        <v>182.68110318971134</v>
      </c>
      <c r="E981">
        <v>82.291683282193247</v>
      </c>
      <c r="F981">
        <v>5.0916972928859181</v>
      </c>
      <c r="G981">
        <v>9.8694984294501662</v>
      </c>
      <c r="H981">
        <v>0.97953584314705988</v>
      </c>
    </row>
    <row r="982" spans="1:8" x14ac:dyDescent="0.3">
      <c r="A982">
        <f t="shared" si="14"/>
        <v>922</v>
      </c>
      <c r="B982">
        <v>17366776.260237761</v>
      </c>
      <c r="C982">
        <v>119993.16039313885</v>
      </c>
      <c r="D982">
        <v>218.02001892876351</v>
      </c>
      <c r="E982">
        <v>118.48444849154916</v>
      </c>
      <c r="F982">
        <v>3.7279484761104191</v>
      </c>
      <c r="G982">
        <v>8.4366080679811226</v>
      </c>
      <c r="H982">
        <v>1.0929108481182195</v>
      </c>
    </row>
    <row r="983" spans="1:8" x14ac:dyDescent="0.3">
      <c r="A983">
        <f t="shared" si="14"/>
        <v>923</v>
      </c>
      <c r="B983">
        <v>26707247.463795584</v>
      </c>
      <c r="C983">
        <v>120004.62361982082</v>
      </c>
      <c r="D983">
        <v>168.50208415859865</v>
      </c>
      <c r="E983">
        <v>91.91776817390047</v>
      </c>
      <c r="F983">
        <v>6.9077963186932356</v>
      </c>
      <c r="G983">
        <v>5.3031456453637666</v>
      </c>
      <c r="H983">
        <v>0.95697139429539879</v>
      </c>
    </row>
    <row r="984" spans="1:8" x14ac:dyDescent="0.3">
      <c r="A984">
        <f t="shared" si="14"/>
        <v>924</v>
      </c>
      <c r="B984">
        <v>19035779.399884127</v>
      </c>
      <c r="C984">
        <v>119997.40636451427</v>
      </c>
      <c r="D984">
        <v>212.65973535776223</v>
      </c>
      <c r="E984">
        <v>102.26265178649827</v>
      </c>
      <c r="F984">
        <v>3.1159324102910215</v>
      </c>
      <c r="G984">
        <v>14.718035648490787</v>
      </c>
      <c r="H984">
        <v>0.91162403877409171</v>
      </c>
    </row>
    <row r="985" spans="1:8" x14ac:dyDescent="0.3">
      <c r="A985">
        <f t="shared" si="14"/>
        <v>925</v>
      </c>
      <c r="B985">
        <v>27514536.689454302</v>
      </c>
      <c r="C985">
        <v>120002.15382803329</v>
      </c>
      <c r="D985">
        <v>182.35443289057918</v>
      </c>
      <c r="E985">
        <v>64.476498748502976</v>
      </c>
      <c r="F985">
        <v>2.4569996854004699</v>
      </c>
      <c r="G985">
        <v>8.5126599121391511</v>
      </c>
      <c r="H985">
        <v>1.0692325347860185</v>
      </c>
    </row>
    <row r="986" spans="1:8" x14ac:dyDescent="0.3">
      <c r="A986">
        <f t="shared" si="14"/>
        <v>926</v>
      </c>
      <c r="B986">
        <v>36550084.31569244</v>
      </c>
      <c r="C986">
        <v>119998.75597463532</v>
      </c>
      <c r="D986">
        <v>68.041784691535668</v>
      </c>
      <c r="E986">
        <v>106.38260344217568</v>
      </c>
      <c r="F986">
        <v>9.0256315721330296</v>
      </c>
      <c r="G986">
        <v>5.7741120116354612</v>
      </c>
      <c r="H986">
        <v>0.86242970859717971</v>
      </c>
    </row>
    <row r="987" spans="1:8" x14ac:dyDescent="0.3">
      <c r="A987">
        <f t="shared" si="14"/>
        <v>927</v>
      </c>
      <c r="B987">
        <v>14674138.249516763</v>
      </c>
      <c r="C987">
        <v>120001.93640191689</v>
      </c>
      <c r="D987">
        <v>267.73120785701013</v>
      </c>
      <c r="E987">
        <v>85.226632551264899</v>
      </c>
      <c r="F987">
        <v>5.9161162641520946</v>
      </c>
      <c r="G987">
        <v>13.541984902871544</v>
      </c>
      <c r="H987">
        <v>1.1952573702348821</v>
      </c>
    </row>
    <row r="988" spans="1:8" x14ac:dyDescent="0.3">
      <c r="A988">
        <f t="shared" si="14"/>
        <v>928</v>
      </c>
      <c r="B988">
        <v>12069167.822670102</v>
      </c>
      <c r="C988">
        <v>119992.41729414585</v>
      </c>
      <c r="D988">
        <v>258.50623705629414</v>
      </c>
      <c r="E988">
        <v>118.72808805190434</v>
      </c>
      <c r="F988">
        <v>6.6445576363662537</v>
      </c>
      <c r="G988">
        <v>10.595311309627846</v>
      </c>
      <c r="H988">
        <v>0.89068570781157197</v>
      </c>
    </row>
    <row r="989" spans="1:8" x14ac:dyDescent="0.3">
      <c r="A989">
        <f t="shared" si="14"/>
        <v>929</v>
      </c>
      <c r="B989">
        <v>12857958.768045681</v>
      </c>
      <c r="C989">
        <v>59999.769076287652</v>
      </c>
      <c r="D989">
        <v>157.90427745432052</v>
      </c>
      <c r="E989">
        <v>100.92411037160157</v>
      </c>
      <c r="F989">
        <v>2.6803100287594863</v>
      </c>
      <c r="G989">
        <v>12.310924353292435</v>
      </c>
      <c r="H989">
        <v>0.88218188934600272</v>
      </c>
    </row>
    <row r="990" spans="1:8" x14ac:dyDescent="0.3">
      <c r="A990">
        <f t="shared" si="14"/>
        <v>930</v>
      </c>
      <c r="B990">
        <v>24038043.650113232</v>
      </c>
      <c r="C990">
        <v>119992.33057307597</v>
      </c>
      <c r="D990">
        <v>190.44748605140148</v>
      </c>
      <c r="E990">
        <v>94.751083617162763</v>
      </c>
      <c r="F990">
        <v>3.2535113288939614</v>
      </c>
      <c r="G990">
        <v>6.5816684649920507</v>
      </c>
      <c r="H990">
        <v>0.99351171211371825</v>
      </c>
    </row>
    <row r="991" spans="1:8" x14ac:dyDescent="0.3">
      <c r="A991">
        <f t="shared" si="14"/>
        <v>931</v>
      </c>
      <c r="B991">
        <v>17667633.342570454</v>
      </c>
      <c r="C991">
        <v>120003.43195417069</v>
      </c>
      <c r="D991">
        <v>218.99546660546153</v>
      </c>
      <c r="E991">
        <v>111.23616526170728</v>
      </c>
      <c r="F991">
        <v>6.2159827538391346</v>
      </c>
      <c r="G991">
        <v>12.088232586950811</v>
      </c>
      <c r="H991">
        <v>1.0730693587553304</v>
      </c>
    </row>
    <row r="992" spans="1:8" x14ac:dyDescent="0.3">
      <c r="A992">
        <f t="shared" si="14"/>
        <v>932</v>
      </c>
      <c r="B992">
        <v>24160776.719569627</v>
      </c>
      <c r="C992">
        <v>120000.44314015326</v>
      </c>
      <c r="D992">
        <v>173.44922065906428</v>
      </c>
      <c r="E992">
        <v>105.36379513796416</v>
      </c>
      <c r="F992">
        <v>4.5605331103407494</v>
      </c>
      <c r="G992">
        <v>5.6007844008624401</v>
      </c>
      <c r="H992">
        <v>1.0144831868715878</v>
      </c>
    </row>
    <row r="993" spans="1:8" x14ac:dyDescent="0.3">
      <c r="A993">
        <f t="shared" si="14"/>
        <v>933</v>
      </c>
      <c r="B993">
        <v>25186926.648375824</v>
      </c>
      <c r="C993">
        <v>119995.32498349655</v>
      </c>
      <c r="D993">
        <v>150.85302872832148</v>
      </c>
      <c r="E993">
        <v>122.39825204518377</v>
      </c>
      <c r="F993">
        <v>5.3921250547304496</v>
      </c>
      <c r="G993">
        <v>7.4571855444272073</v>
      </c>
      <c r="H993">
        <v>1.0470241227564636</v>
      </c>
    </row>
    <row r="994" spans="1:8" x14ac:dyDescent="0.3">
      <c r="A994">
        <f t="shared" si="14"/>
        <v>934</v>
      </c>
      <c r="B994">
        <v>25029165.667717684</v>
      </c>
      <c r="C994">
        <v>120002.88663178844</v>
      </c>
      <c r="D994">
        <v>167.32975995145878</v>
      </c>
      <c r="E994">
        <v>97.832593180004181</v>
      </c>
      <c r="F994">
        <v>4.7446734219236548</v>
      </c>
      <c r="G994">
        <v>12.384044759695001</v>
      </c>
      <c r="H994">
        <v>0.74517982942657479</v>
      </c>
    </row>
    <row r="995" spans="1:8" x14ac:dyDescent="0.3">
      <c r="A995">
        <f t="shared" si="14"/>
        <v>935</v>
      </c>
      <c r="B995">
        <v>14822539.015296884</v>
      </c>
      <c r="C995">
        <v>120006.31705957931</v>
      </c>
      <c r="D995">
        <v>258.42183169576163</v>
      </c>
      <c r="E995">
        <v>96.367095604097045</v>
      </c>
      <c r="F995">
        <v>6.2891364744995704</v>
      </c>
      <c r="G995">
        <v>8.825627774133336</v>
      </c>
      <c r="H995">
        <v>1.2505451723079479</v>
      </c>
    </row>
    <row r="996" spans="1:8" x14ac:dyDescent="0.3">
      <c r="A996">
        <f t="shared" si="14"/>
        <v>936</v>
      </c>
      <c r="B996">
        <v>21722483.745218799</v>
      </c>
      <c r="C996">
        <v>120003.71750326839</v>
      </c>
      <c r="D996">
        <v>219.54056810826472</v>
      </c>
      <c r="E996">
        <v>80.056244101568225</v>
      </c>
      <c r="F996">
        <v>5.7697741524994939</v>
      </c>
      <c r="G996">
        <v>9.1912385582269636</v>
      </c>
      <c r="H996">
        <v>0.97135454058227744</v>
      </c>
    </row>
    <row r="997" spans="1:8" x14ac:dyDescent="0.3">
      <c r="A997">
        <f t="shared" si="14"/>
        <v>937</v>
      </c>
      <c r="B997">
        <v>14868696.501921333</v>
      </c>
      <c r="C997">
        <v>120006.07676470166</v>
      </c>
      <c r="D997">
        <v>247.23179460707033</v>
      </c>
      <c r="E997">
        <v>109.96182182797945</v>
      </c>
      <c r="F997">
        <v>5.2066352151749253</v>
      </c>
      <c r="G997">
        <v>7.5171103069059386</v>
      </c>
      <c r="H997">
        <v>1.0618539417601207</v>
      </c>
    </row>
    <row r="998" spans="1:8" x14ac:dyDescent="0.3">
      <c r="A998">
        <f t="shared" si="14"/>
        <v>938</v>
      </c>
      <c r="B998">
        <v>26402734.694078363</v>
      </c>
      <c r="C998">
        <v>120002.39324516388</v>
      </c>
      <c r="D998">
        <v>155.88800891005425</v>
      </c>
      <c r="E998">
        <v>103.62735358963916</v>
      </c>
      <c r="F998">
        <v>4.2169114326091295</v>
      </c>
      <c r="G998">
        <v>8.7700038218304677</v>
      </c>
      <c r="H998">
        <v>0.98913026910468971</v>
      </c>
    </row>
    <row r="999" spans="1:8" x14ac:dyDescent="0.3">
      <c r="A999">
        <f t="shared" si="14"/>
        <v>939</v>
      </c>
      <c r="B999">
        <v>13183457.196291581</v>
      </c>
      <c r="C999">
        <v>120000.7278615136</v>
      </c>
      <c r="D999">
        <v>248.85618204652238</v>
      </c>
      <c r="E999">
        <v>116.2327601570361</v>
      </c>
      <c r="F999">
        <v>6.1626133557979133</v>
      </c>
      <c r="G999">
        <v>12.646569380773162</v>
      </c>
      <c r="H999">
        <v>1.0655177454682396</v>
      </c>
    </row>
    <row r="1000" spans="1:8" x14ac:dyDescent="0.3">
      <c r="A1000">
        <f t="shared" si="14"/>
        <v>940</v>
      </c>
      <c r="B1000">
        <v>37589299.627858907</v>
      </c>
      <c r="C1000">
        <v>119998.33554807868</v>
      </c>
      <c r="D1000">
        <v>114.20129640380547</v>
      </c>
      <c r="E1000">
        <v>50.447622811207005</v>
      </c>
      <c r="F1000">
        <v>4.9848206247219187</v>
      </c>
      <c r="G1000">
        <v>8.2236713856985659</v>
      </c>
      <c r="H1000">
        <v>1.0230438496487873</v>
      </c>
    </row>
    <row r="1001" spans="1:8" x14ac:dyDescent="0.3">
      <c r="A1001">
        <f t="shared" si="14"/>
        <v>941</v>
      </c>
      <c r="B1001">
        <v>15897420.180752806</v>
      </c>
      <c r="C1001">
        <v>120002.8622671684</v>
      </c>
      <c r="D1001">
        <v>257.52267506233505</v>
      </c>
      <c r="E1001">
        <v>98.046311207960031</v>
      </c>
      <c r="F1001">
        <v>4.7433613173124956</v>
      </c>
      <c r="G1001">
        <v>4.494413271548976</v>
      </c>
      <c r="H1001">
        <v>1.2906345744241647</v>
      </c>
    </row>
    <row r="1002" spans="1:8" x14ac:dyDescent="0.3">
      <c r="A1002">
        <f t="shared" si="14"/>
        <v>942</v>
      </c>
      <c r="B1002">
        <v>24838731.177965358</v>
      </c>
      <c r="C1002">
        <v>119998.59974079581</v>
      </c>
      <c r="D1002">
        <v>181.19497000068066</v>
      </c>
      <c r="E1002">
        <v>89.849347899043977</v>
      </c>
      <c r="F1002">
        <v>6.2997102977543236</v>
      </c>
      <c r="G1002">
        <v>5.20207740112886</v>
      </c>
      <c r="H1002">
        <v>1.1097789472959394</v>
      </c>
    </row>
    <row r="1003" spans="1:8" x14ac:dyDescent="0.3">
      <c r="A1003">
        <f t="shared" si="14"/>
        <v>943</v>
      </c>
      <c r="B1003">
        <v>13646768.432304405</v>
      </c>
      <c r="C1003">
        <v>120006.54597466817</v>
      </c>
      <c r="D1003">
        <v>258.96881043744918</v>
      </c>
      <c r="E1003">
        <v>108.54629777385519</v>
      </c>
      <c r="F1003">
        <v>4.2845055377476076</v>
      </c>
      <c r="G1003">
        <v>11.279939231791595</v>
      </c>
      <c r="H1003">
        <v>0.99756542504808821</v>
      </c>
    </row>
    <row r="1004" spans="1:8" x14ac:dyDescent="0.3">
      <c r="A1004">
        <f t="shared" si="14"/>
        <v>944</v>
      </c>
      <c r="B1004">
        <v>17614643.808792032</v>
      </c>
      <c r="C1004">
        <v>119998.85742659724</v>
      </c>
      <c r="D1004">
        <v>228.78100302564775</v>
      </c>
      <c r="E1004">
        <v>104.44125338126628</v>
      </c>
      <c r="F1004">
        <v>2.5364293112541998</v>
      </c>
      <c r="G1004">
        <v>12.177991067663804</v>
      </c>
      <c r="H1004">
        <v>1.1034692607921321</v>
      </c>
    </row>
    <row r="1005" spans="1:8" x14ac:dyDescent="0.3">
      <c r="A1005">
        <f t="shared" si="14"/>
        <v>945</v>
      </c>
      <c r="B1005">
        <v>25468672.567393903</v>
      </c>
      <c r="C1005">
        <v>119999.53514622993</v>
      </c>
      <c r="D1005">
        <v>183.89084042021446</v>
      </c>
      <c r="E1005">
        <v>83.946058055244634</v>
      </c>
      <c r="F1005">
        <v>3.958309854969059</v>
      </c>
      <c r="G1005">
        <v>10.21566118804045</v>
      </c>
      <c r="H1005">
        <v>0.89896367270712707</v>
      </c>
    </row>
    <row r="1006" spans="1:8" x14ac:dyDescent="0.3">
      <c r="A1006">
        <f t="shared" si="14"/>
        <v>946</v>
      </c>
      <c r="B1006">
        <v>29752801.909579221</v>
      </c>
      <c r="C1006">
        <v>119998.94378000093</v>
      </c>
      <c r="D1006">
        <v>160.91200345258179</v>
      </c>
      <c r="E1006">
        <v>67.021353624230727</v>
      </c>
      <c r="F1006">
        <v>1.8501165010933067</v>
      </c>
      <c r="G1006">
        <v>11.257821011175102</v>
      </c>
      <c r="H1006">
        <v>0.86142954863310639</v>
      </c>
    </row>
    <row r="1007" spans="1:8" x14ac:dyDescent="0.3">
      <c r="A1007">
        <f t="shared" si="14"/>
        <v>947</v>
      </c>
      <c r="B1007">
        <v>28064814.468052238</v>
      </c>
      <c r="C1007">
        <v>119991.39805713203</v>
      </c>
      <c r="D1007">
        <v>140.14235363751683</v>
      </c>
      <c r="E1007">
        <v>108.28918152990497</v>
      </c>
      <c r="F1007">
        <v>6.3341504555927752</v>
      </c>
      <c r="G1007">
        <v>6.854458485141298</v>
      </c>
      <c r="H1007">
        <v>0.92443607004066874</v>
      </c>
    </row>
    <row r="1008" spans="1:8" x14ac:dyDescent="0.3">
      <c r="A1008">
        <f t="shared" si="14"/>
        <v>948</v>
      </c>
      <c r="B1008">
        <v>18865308.333683081</v>
      </c>
      <c r="C1008">
        <v>120000.09634341025</v>
      </c>
      <c r="D1008">
        <v>241.27043977523169</v>
      </c>
      <c r="E1008">
        <v>85.122321078631956</v>
      </c>
      <c r="F1008">
        <v>4.9167873423244748</v>
      </c>
      <c r="G1008">
        <v>6.8821839771718842</v>
      </c>
      <c r="H1008">
        <v>1.0536693463360067</v>
      </c>
    </row>
    <row r="1009" spans="1:8" x14ac:dyDescent="0.3">
      <c r="A1009">
        <f t="shared" si="14"/>
        <v>949</v>
      </c>
      <c r="B1009">
        <v>22575606.178241462</v>
      </c>
      <c r="C1009">
        <v>119999.35481088124</v>
      </c>
      <c r="D1009">
        <v>192.93655387217868</v>
      </c>
      <c r="E1009">
        <v>82.305101695486471</v>
      </c>
      <c r="F1009">
        <v>11.048148722815181</v>
      </c>
      <c r="G1009">
        <v>15.362348875035401</v>
      </c>
      <c r="H1009">
        <v>1.0223666145102059</v>
      </c>
    </row>
    <row r="1010" spans="1:8" x14ac:dyDescent="0.3">
      <c r="A1010">
        <f t="shared" si="14"/>
        <v>950</v>
      </c>
      <c r="B1010">
        <v>23236807.88669645</v>
      </c>
      <c r="C1010">
        <v>120001.46066456528</v>
      </c>
      <c r="D1010">
        <v>179.51425562611001</v>
      </c>
      <c r="E1010">
        <v>104.96301326189018</v>
      </c>
      <c r="F1010">
        <v>2.6490719917445125</v>
      </c>
      <c r="G1010">
        <v>10.606631487261646</v>
      </c>
      <c r="H1010">
        <v>0.98959105600344155</v>
      </c>
    </row>
    <row r="1011" spans="1:8" x14ac:dyDescent="0.3">
      <c r="A1011">
        <f t="shared" si="14"/>
        <v>951</v>
      </c>
      <c r="B1011">
        <v>25618343.307280537</v>
      </c>
      <c r="C1011">
        <v>119998.05759549796</v>
      </c>
      <c r="D1011">
        <v>190.69146265259397</v>
      </c>
      <c r="E1011">
        <v>66.572990555203731</v>
      </c>
      <c r="F1011">
        <v>5.5526306520527688</v>
      </c>
      <c r="G1011">
        <v>14.494258888755043</v>
      </c>
      <c r="H1011">
        <v>1.0651691318984737</v>
      </c>
    </row>
    <row r="1012" spans="1:8" x14ac:dyDescent="0.3">
      <c r="A1012">
        <f t="shared" si="14"/>
        <v>952</v>
      </c>
      <c r="B1012">
        <v>13634767.962806933</v>
      </c>
      <c r="C1012">
        <v>119993.51623940196</v>
      </c>
      <c r="D1012">
        <v>247.20072199620896</v>
      </c>
      <c r="E1012">
        <v>121.25475356514002</v>
      </c>
      <c r="F1012">
        <v>5.6669057655778872</v>
      </c>
      <c r="G1012">
        <v>8.0083965248514914</v>
      </c>
      <c r="H1012">
        <v>1.1155837155520967</v>
      </c>
    </row>
    <row r="1013" spans="1:8" x14ac:dyDescent="0.3">
      <c r="A1013">
        <f t="shared" si="14"/>
        <v>953</v>
      </c>
      <c r="B1013">
        <v>25755255.812392462</v>
      </c>
      <c r="C1013">
        <v>119996.49425590818</v>
      </c>
      <c r="D1013">
        <v>176.73469374182446</v>
      </c>
      <c r="E1013">
        <v>84.412467001657802</v>
      </c>
      <c r="F1013">
        <v>2.7136848243450964</v>
      </c>
      <c r="G1013">
        <v>9.8645962319632687</v>
      </c>
      <c r="H1013">
        <v>1.0315967721061226</v>
      </c>
    </row>
    <row r="1014" spans="1:8" x14ac:dyDescent="0.3">
      <c r="A1014">
        <f t="shared" si="14"/>
        <v>954</v>
      </c>
      <c r="B1014">
        <v>23016975.427937508</v>
      </c>
      <c r="C1014">
        <v>119999.63816268319</v>
      </c>
      <c r="D1014">
        <v>215.74145915728403</v>
      </c>
      <c r="E1014">
        <v>71.439768884573667</v>
      </c>
      <c r="F1014">
        <v>3.7856894458060575</v>
      </c>
      <c r="G1014">
        <v>10.630886263384276</v>
      </c>
      <c r="H1014">
        <v>0.94907529818244085</v>
      </c>
    </row>
    <row r="1015" spans="1:8" x14ac:dyDescent="0.3">
      <c r="A1015">
        <f t="shared" si="14"/>
        <v>955</v>
      </c>
      <c r="B1015">
        <v>7117685.3812087849</v>
      </c>
      <c r="C1015">
        <v>120002.90426747677</v>
      </c>
      <c r="D1015">
        <v>280.57096873004889</v>
      </c>
      <c r="E1015">
        <v>141.32453594618732</v>
      </c>
      <c r="F1015">
        <v>5.1661018827833285</v>
      </c>
      <c r="G1015">
        <v>11.825482738320769</v>
      </c>
      <c r="H1015">
        <v>1.0762480528027376</v>
      </c>
    </row>
    <row r="1016" spans="1:8" x14ac:dyDescent="0.3">
      <c r="A1016">
        <f t="shared" si="14"/>
        <v>956</v>
      </c>
      <c r="B1016">
        <v>29412503.656390809</v>
      </c>
      <c r="C1016">
        <v>119999.06080386862</v>
      </c>
      <c r="D1016">
        <v>163.95300688662422</v>
      </c>
      <c r="E1016">
        <v>69.407718009078181</v>
      </c>
      <c r="F1016">
        <v>2.7469096425061443</v>
      </c>
      <c r="G1016">
        <v>8.5529279336065347</v>
      </c>
      <c r="H1016">
        <v>0.93884614499731411</v>
      </c>
    </row>
    <row r="1017" spans="1:8" x14ac:dyDescent="0.3">
      <c r="A1017">
        <f t="shared" si="14"/>
        <v>957</v>
      </c>
      <c r="B1017">
        <v>22357926.14469862</v>
      </c>
      <c r="C1017">
        <v>119997.01289517451</v>
      </c>
      <c r="D1017">
        <v>229.00174416301684</v>
      </c>
      <c r="E1017">
        <v>68.152427524859064</v>
      </c>
      <c r="F1017">
        <v>3.6856611981903118</v>
      </c>
      <c r="G1017">
        <v>6.5740147244692348</v>
      </c>
      <c r="H1017">
        <v>0.97359760985367916</v>
      </c>
    </row>
    <row r="1018" spans="1:8" x14ac:dyDescent="0.3">
      <c r="A1018">
        <f t="shared" si="14"/>
        <v>958</v>
      </c>
      <c r="B1018">
        <v>22030200.330523938</v>
      </c>
      <c r="C1018">
        <v>119997.72361861692</v>
      </c>
      <c r="D1018">
        <v>168.77443535170468</v>
      </c>
      <c r="E1018">
        <v>127.41702754072168</v>
      </c>
      <c r="F1018">
        <v>4.9890647110167086</v>
      </c>
      <c r="G1018">
        <v>5.7970661630088944</v>
      </c>
      <c r="H1018">
        <v>0.84937801832451587</v>
      </c>
    </row>
    <row r="1019" spans="1:8" x14ac:dyDescent="0.3">
      <c r="A1019">
        <f t="shared" si="14"/>
        <v>959</v>
      </c>
      <c r="B1019">
        <v>10577660.997275047</v>
      </c>
      <c r="C1019">
        <v>60001.251612708053</v>
      </c>
      <c r="D1019">
        <v>221.11605284604241</v>
      </c>
      <c r="E1019">
        <v>84.015843845549924</v>
      </c>
      <c r="F1019">
        <v>4.7683131164166817</v>
      </c>
      <c r="G1019">
        <v>10.017279273383203</v>
      </c>
      <c r="H1019">
        <v>0.98041365796354851</v>
      </c>
    </row>
    <row r="1020" spans="1:8" x14ac:dyDescent="0.3">
      <c r="A1020">
        <f t="shared" si="14"/>
        <v>960</v>
      </c>
      <c r="B1020">
        <v>18118551.517690621</v>
      </c>
      <c r="C1020">
        <v>120000.98432236415</v>
      </c>
      <c r="D1020">
        <v>219.59645628352919</v>
      </c>
      <c r="E1020">
        <v>108.21629116133454</v>
      </c>
      <c r="F1020">
        <v>3.3337285408957111</v>
      </c>
      <c r="G1020">
        <v>9.5353121871204607</v>
      </c>
      <c r="H1020">
        <v>1.0292492307021464</v>
      </c>
    </row>
    <row r="1021" spans="1:8" x14ac:dyDescent="0.3">
      <c r="A1021">
        <f t="shared" si="14"/>
        <v>961</v>
      </c>
      <c r="B1021">
        <v>11139619.383434959</v>
      </c>
      <c r="C1021">
        <v>60000.262974679565</v>
      </c>
      <c r="D1021">
        <v>207.5082575673116</v>
      </c>
      <c r="E1021">
        <v>87.289388715825538</v>
      </c>
      <c r="F1021">
        <v>3.9780627707230769</v>
      </c>
      <c r="G1021">
        <v>5.2476492717263845</v>
      </c>
      <c r="H1021">
        <v>0.9287783635787028</v>
      </c>
    </row>
    <row r="1022" spans="1:8" x14ac:dyDescent="0.3">
      <c r="A1022">
        <f t="shared" si="14"/>
        <v>962</v>
      </c>
      <c r="B1022">
        <v>23665981.260727182</v>
      </c>
      <c r="C1022">
        <v>120000.54805094462</v>
      </c>
      <c r="D1022">
        <v>204.48603971623717</v>
      </c>
      <c r="E1022">
        <v>73.974382886836338</v>
      </c>
      <c r="F1022">
        <v>4.2861791448002906</v>
      </c>
      <c r="G1022">
        <v>12.502315650038165</v>
      </c>
      <c r="H1022">
        <v>1.0431459677038253</v>
      </c>
    </row>
    <row r="1023" spans="1:8" x14ac:dyDescent="0.3">
      <c r="A1023">
        <f t="shared" ref="A1023:A1060" si="15">A1022+1</f>
        <v>963</v>
      </c>
      <c r="B1023">
        <v>13889045.86272876</v>
      </c>
      <c r="C1023">
        <v>120002.54739518791</v>
      </c>
      <c r="D1023">
        <v>244.19595484711152</v>
      </c>
      <c r="E1023">
        <v>118.2921677024129</v>
      </c>
      <c r="F1023">
        <v>6.7621379853555785</v>
      </c>
      <c r="G1023">
        <v>11.275718506130948</v>
      </c>
      <c r="H1023">
        <v>1.0300029516525808</v>
      </c>
    </row>
    <row r="1024" spans="1:8" x14ac:dyDescent="0.3">
      <c r="A1024">
        <f t="shared" si="15"/>
        <v>964</v>
      </c>
      <c r="B1024">
        <v>12449255.710251026</v>
      </c>
      <c r="C1024">
        <v>120003.33167882322</v>
      </c>
      <c r="D1024">
        <v>287.61804672273445</v>
      </c>
      <c r="E1024">
        <v>90.502554160037192</v>
      </c>
      <c r="F1024">
        <v>6.6427571376592978</v>
      </c>
      <c r="G1024">
        <v>7.0532290782025804</v>
      </c>
      <c r="H1024">
        <v>1.1775618039702895</v>
      </c>
    </row>
    <row r="1025" spans="1:8" x14ac:dyDescent="0.3">
      <c r="A1025">
        <f t="shared" si="15"/>
        <v>965</v>
      </c>
      <c r="B1025">
        <v>24224585.370536469</v>
      </c>
      <c r="C1025">
        <v>120005.04054136587</v>
      </c>
      <c r="D1025">
        <v>214.38487873924774</v>
      </c>
      <c r="E1025">
        <v>64.590883503360743</v>
      </c>
      <c r="F1025">
        <v>2.724400396169115</v>
      </c>
      <c r="G1025">
        <v>12.625472617923574</v>
      </c>
      <c r="H1025">
        <v>0.9634447936840409</v>
      </c>
    </row>
    <row r="1026" spans="1:8" x14ac:dyDescent="0.3">
      <c r="A1026">
        <f t="shared" si="15"/>
        <v>966</v>
      </c>
      <c r="B1026">
        <v>23170098.78371156</v>
      </c>
      <c r="C1026">
        <v>120002.12668916686</v>
      </c>
      <c r="D1026">
        <v>162.15347886460441</v>
      </c>
      <c r="E1026">
        <v>116.45437105636938</v>
      </c>
      <c r="F1026">
        <v>6.7854718628257213</v>
      </c>
      <c r="G1026">
        <v>13.965375327296057</v>
      </c>
      <c r="H1026">
        <v>0.87004890904508347</v>
      </c>
    </row>
    <row r="1027" spans="1:8" x14ac:dyDescent="0.3">
      <c r="A1027">
        <f t="shared" si="15"/>
        <v>967</v>
      </c>
      <c r="B1027">
        <v>29507687.195222888</v>
      </c>
      <c r="C1027">
        <v>120002.31540170315</v>
      </c>
      <c r="D1027">
        <v>155.14671783223608</v>
      </c>
      <c r="E1027">
        <v>71.376796868204622</v>
      </c>
      <c r="F1027">
        <v>7.2729659219800791</v>
      </c>
      <c r="G1027">
        <v>10.529306282203192</v>
      </c>
      <c r="H1027">
        <v>0.97763317027524288</v>
      </c>
    </row>
    <row r="1028" spans="1:8" x14ac:dyDescent="0.3">
      <c r="A1028">
        <f t="shared" si="15"/>
        <v>968</v>
      </c>
      <c r="B1028">
        <v>29090448.320713229</v>
      </c>
      <c r="C1028">
        <v>119994.15097138044</v>
      </c>
      <c r="D1028">
        <v>129.19895776291838</v>
      </c>
      <c r="E1028">
        <v>106.97697210842254</v>
      </c>
      <c r="F1028">
        <v>0.80021796418155589</v>
      </c>
      <c r="G1028">
        <v>11.494169817684629</v>
      </c>
      <c r="H1028">
        <v>1.0021938854757142</v>
      </c>
    </row>
    <row r="1029" spans="1:8" x14ac:dyDescent="0.3">
      <c r="A1029">
        <f t="shared" si="15"/>
        <v>969</v>
      </c>
      <c r="B1029">
        <v>20366323.965049751</v>
      </c>
      <c r="C1029">
        <v>119999.18143424713</v>
      </c>
      <c r="D1029">
        <v>226.87724880842873</v>
      </c>
      <c r="E1029">
        <v>87.737099004776255</v>
      </c>
      <c r="F1029">
        <v>1.9516026560903739</v>
      </c>
      <c r="G1029">
        <v>10.032929104762204</v>
      </c>
      <c r="H1029">
        <v>0.97416173469878586</v>
      </c>
    </row>
    <row r="1030" spans="1:8" x14ac:dyDescent="0.3">
      <c r="A1030">
        <f t="shared" si="15"/>
        <v>970</v>
      </c>
      <c r="B1030">
        <v>28391175.38937261</v>
      </c>
      <c r="C1030">
        <v>119997.23813721655</v>
      </c>
      <c r="D1030">
        <v>179.62061950355545</v>
      </c>
      <c r="E1030">
        <v>67.807131843440786</v>
      </c>
      <c r="F1030">
        <v>4.960818752699967</v>
      </c>
      <c r="G1030">
        <v>5.231453248672242</v>
      </c>
      <c r="H1030">
        <v>0.99892205034685788</v>
      </c>
    </row>
    <row r="1031" spans="1:8" x14ac:dyDescent="0.3">
      <c r="A1031">
        <f t="shared" si="15"/>
        <v>971</v>
      </c>
      <c r="B1031">
        <v>26701787.500982616</v>
      </c>
      <c r="C1031">
        <v>120000.59519370637</v>
      </c>
      <c r="D1031">
        <v>182.13950415017715</v>
      </c>
      <c r="E1031">
        <v>76.679470189653188</v>
      </c>
      <c r="F1031">
        <v>3.9510196356890903</v>
      </c>
      <c r="G1031">
        <v>5.7046383068248412</v>
      </c>
      <c r="H1031">
        <v>0.87596123264201275</v>
      </c>
    </row>
    <row r="1032" spans="1:8" x14ac:dyDescent="0.3">
      <c r="A1032">
        <f t="shared" si="15"/>
        <v>972</v>
      </c>
      <c r="B1032">
        <v>28819891.701910682</v>
      </c>
      <c r="C1032">
        <v>119994.653399752</v>
      </c>
      <c r="D1032">
        <v>114.52803912674366</v>
      </c>
      <c r="E1032">
        <v>120.07797504021275</v>
      </c>
      <c r="F1032">
        <v>2.9195826491867529</v>
      </c>
      <c r="G1032">
        <v>10.964406078791502</v>
      </c>
      <c r="H1032">
        <v>0.81290875592415857</v>
      </c>
    </row>
    <row r="1033" spans="1:8" x14ac:dyDescent="0.3">
      <c r="A1033">
        <f t="shared" si="15"/>
        <v>973</v>
      </c>
      <c r="B1033">
        <v>12726659.024462752</v>
      </c>
      <c r="C1033">
        <v>119996.24585264862</v>
      </c>
      <c r="D1033">
        <v>252.75358352456155</v>
      </c>
      <c r="E1033">
        <v>120.68738936503877</v>
      </c>
      <c r="F1033">
        <v>8.2242351015165021</v>
      </c>
      <c r="G1033">
        <v>8.1560674451776478</v>
      </c>
      <c r="H1033">
        <v>0.96553962370608348</v>
      </c>
    </row>
    <row r="1034" spans="1:8" x14ac:dyDescent="0.3">
      <c r="A1034">
        <f t="shared" si="15"/>
        <v>974</v>
      </c>
      <c r="B1034">
        <v>20384068.309449352</v>
      </c>
      <c r="C1034">
        <v>120006.01144828855</v>
      </c>
      <c r="D1034">
        <v>167.31147105606766</v>
      </c>
      <c r="E1034">
        <v>135.87280666058012</v>
      </c>
      <c r="F1034">
        <v>6.8333766099629925</v>
      </c>
      <c r="G1034">
        <v>13.161699836952923</v>
      </c>
      <c r="H1034">
        <v>1.0059674758689181</v>
      </c>
    </row>
    <row r="1035" spans="1:8" x14ac:dyDescent="0.3">
      <c r="A1035">
        <f t="shared" si="15"/>
        <v>975</v>
      </c>
      <c r="B1035">
        <v>25899906.328077015</v>
      </c>
      <c r="C1035">
        <v>120002.3783055988</v>
      </c>
      <c r="D1035">
        <v>163.25621132818122</v>
      </c>
      <c r="E1035">
        <v>89.106898049609867</v>
      </c>
      <c r="F1035">
        <v>8.5886497104795101</v>
      </c>
      <c r="G1035">
        <v>16.523390143193843</v>
      </c>
      <c r="H1035">
        <v>0.93348221441514523</v>
      </c>
    </row>
    <row r="1036" spans="1:8" x14ac:dyDescent="0.3">
      <c r="A1036">
        <f t="shared" si="15"/>
        <v>976</v>
      </c>
      <c r="B1036">
        <v>23303740.330827154</v>
      </c>
      <c r="C1036">
        <v>119998.13895204895</v>
      </c>
      <c r="D1036">
        <v>176.69360316921205</v>
      </c>
      <c r="E1036">
        <v>105.2872104251885</v>
      </c>
      <c r="F1036">
        <v>2.89076429376696</v>
      </c>
      <c r="G1036">
        <v>12.680973373944024</v>
      </c>
      <c r="H1036">
        <v>0.96669705066705891</v>
      </c>
    </row>
    <row r="1037" spans="1:8" x14ac:dyDescent="0.3">
      <c r="A1037">
        <f t="shared" si="15"/>
        <v>977</v>
      </c>
      <c r="B1037">
        <v>23240708.390927874</v>
      </c>
      <c r="C1037">
        <v>120002.77564815707</v>
      </c>
      <c r="D1037">
        <v>197.16997472071958</v>
      </c>
      <c r="E1037">
        <v>83.188245116787044</v>
      </c>
      <c r="F1037">
        <v>7.5605426344350954</v>
      </c>
      <c r="G1037">
        <v>7.7535355046010181</v>
      </c>
      <c r="H1037">
        <v>0.91172983874438962</v>
      </c>
    </row>
    <row r="1038" spans="1:8" x14ac:dyDescent="0.3">
      <c r="A1038">
        <f t="shared" si="15"/>
        <v>978</v>
      </c>
      <c r="B1038">
        <v>31491238.905911028</v>
      </c>
      <c r="C1038">
        <v>119994.40925850489</v>
      </c>
      <c r="D1038">
        <v>117.08575078747792</v>
      </c>
      <c r="E1038">
        <v>99.190536920108656</v>
      </c>
      <c r="F1038">
        <v>5.433386920369534</v>
      </c>
      <c r="G1038">
        <v>9.7286875814226672</v>
      </c>
      <c r="H1038">
        <v>0.89734437362118891</v>
      </c>
    </row>
    <row r="1039" spans="1:8" x14ac:dyDescent="0.3">
      <c r="A1039">
        <f t="shared" si="15"/>
        <v>979</v>
      </c>
      <c r="B1039">
        <v>23177200.700173661</v>
      </c>
      <c r="C1039">
        <v>119997.71539357401</v>
      </c>
      <c r="D1039">
        <v>178.50981015641739</v>
      </c>
      <c r="E1039">
        <v>115.54165909840982</v>
      </c>
      <c r="F1039">
        <v>1.6845702273176779</v>
      </c>
      <c r="G1039">
        <v>7.7059680701828865</v>
      </c>
      <c r="H1039">
        <v>1.0975514426126769</v>
      </c>
    </row>
    <row r="1040" spans="1:8" x14ac:dyDescent="0.3">
      <c r="A1040">
        <f t="shared" si="15"/>
        <v>980</v>
      </c>
      <c r="B1040">
        <v>27455217.669033546</v>
      </c>
      <c r="C1040">
        <v>119998.64729540239</v>
      </c>
      <c r="D1040">
        <v>149.24967625924771</v>
      </c>
      <c r="E1040">
        <v>104.44482372169131</v>
      </c>
      <c r="F1040">
        <v>1.1822910205613972</v>
      </c>
      <c r="G1040">
        <v>9.8321203974198657</v>
      </c>
      <c r="H1040">
        <v>0.93946062842006539</v>
      </c>
    </row>
    <row r="1041" spans="1:8" x14ac:dyDescent="0.3">
      <c r="A1041">
        <f t="shared" si="15"/>
        <v>981</v>
      </c>
      <c r="B1041">
        <v>22438723.010348842</v>
      </c>
      <c r="C1041">
        <v>120000.84017966963</v>
      </c>
      <c r="D1041">
        <v>176.66728145908806</v>
      </c>
      <c r="E1041">
        <v>113.97456073042818</v>
      </c>
      <c r="F1041">
        <v>2.9773612405753744</v>
      </c>
      <c r="G1041">
        <v>10.085953442970027</v>
      </c>
      <c r="H1041">
        <v>0.99853311324314686</v>
      </c>
    </row>
    <row r="1042" spans="1:8" x14ac:dyDescent="0.3">
      <c r="A1042">
        <f t="shared" si="15"/>
        <v>982</v>
      </c>
      <c r="B1042">
        <v>14125899.008354597</v>
      </c>
      <c r="C1042">
        <v>119996.65988533493</v>
      </c>
      <c r="D1042">
        <v>216.07198754281995</v>
      </c>
      <c r="E1042">
        <v>142.73477396018799</v>
      </c>
      <c r="F1042">
        <v>3.5185386200266504</v>
      </c>
      <c r="G1042">
        <v>16.097960246376683</v>
      </c>
      <c r="H1042">
        <v>0.87572121347808718</v>
      </c>
    </row>
    <row r="1043" spans="1:8" x14ac:dyDescent="0.3">
      <c r="A1043">
        <f t="shared" si="15"/>
        <v>983</v>
      </c>
      <c r="B1043">
        <v>23752997.114159495</v>
      </c>
      <c r="C1043">
        <v>119999.98188892928</v>
      </c>
      <c r="D1043">
        <v>163.42259244116516</v>
      </c>
      <c r="E1043">
        <v>113.82584316275121</v>
      </c>
      <c r="F1043">
        <v>5.0197860148951223</v>
      </c>
      <c r="G1043">
        <v>12.673416726288568</v>
      </c>
      <c r="H1043">
        <v>0.82790842020673505</v>
      </c>
    </row>
    <row r="1044" spans="1:8" x14ac:dyDescent="0.3">
      <c r="A1044">
        <f t="shared" si="15"/>
        <v>984</v>
      </c>
      <c r="B1044">
        <v>30440749.213066664</v>
      </c>
      <c r="C1044">
        <v>120001.2084968538</v>
      </c>
      <c r="D1044">
        <v>124.25655660879367</v>
      </c>
      <c r="E1044">
        <v>100.95027815480162</v>
      </c>
      <c r="F1044">
        <v>1.6665356331753025</v>
      </c>
      <c r="G1044">
        <v>10.766317229784084</v>
      </c>
      <c r="H1044">
        <v>1.0132342786356026</v>
      </c>
    </row>
    <row r="1045" spans="1:8" x14ac:dyDescent="0.3">
      <c r="A1045">
        <f t="shared" si="15"/>
        <v>985</v>
      </c>
      <c r="B1045">
        <v>16535914.442676321</v>
      </c>
      <c r="C1045">
        <v>120001.42872004518</v>
      </c>
      <c r="D1045">
        <v>246.34944525706175</v>
      </c>
      <c r="E1045">
        <v>96.06407102564603</v>
      </c>
      <c r="F1045">
        <v>4.2211054544457864</v>
      </c>
      <c r="G1045">
        <v>10.762319983325987</v>
      </c>
      <c r="H1045">
        <v>1.0244748922265563</v>
      </c>
    </row>
    <row r="1046" spans="1:8" x14ac:dyDescent="0.3">
      <c r="A1046">
        <f t="shared" si="15"/>
        <v>986</v>
      </c>
      <c r="B1046">
        <v>24962862.156216878</v>
      </c>
      <c r="C1046">
        <v>120001.31368839959</v>
      </c>
      <c r="D1046">
        <v>178.92242293569993</v>
      </c>
      <c r="E1046">
        <v>88.799821678890993</v>
      </c>
      <c r="F1046">
        <v>7.7815253539526328</v>
      </c>
      <c r="G1046">
        <v>9.3139620461813628</v>
      </c>
      <c r="H1046">
        <v>1.0396240608903549</v>
      </c>
    </row>
    <row r="1047" spans="1:8" x14ac:dyDescent="0.3">
      <c r="A1047">
        <f t="shared" si="15"/>
        <v>987</v>
      </c>
      <c r="B1047">
        <v>16614434.446861371</v>
      </c>
      <c r="C1047">
        <v>120004.36995588792</v>
      </c>
      <c r="D1047">
        <v>249.78358562006699</v>
      </c>
      <c r="E1047">
        <v>97.036003250765447</v>
      </c>
      <c r="F1047">
        <v>3.9142303221889545</v>
      </c>
      <c r="G1047">
        <v>7.7351259828693903</v>
      </c>
      <c r="H1047">
        <v>0.98481708818696145</v>
      </c>
    </row>
    <row r="1048" spans="1:8" x14ac:dyDescent="0.3">
      <c r="A1048">
        <f t="shared" si="15"/>
        <v>988</v>
      </c>
      <c r="B1048">
        <v>6642012.6660180055</v>
      </c>
      <c r="C1048">
        <v>60000.863068499668</v>
      </c>
      <c r="D1048">
        <v>272.75038117230775</v>
      </c>
      <c r="E1048">
        <v>93.934825377457159</v>
      </c>
      <c r="F1048">
        <v>4.55106445347083</v>
      </c>
      <c r="G1048">
        <v>12.801413752018448</v>
      </c>
      <c r="H1048">
        <v>1.0406234339629412</v>
      </c>
    </row>
    <row r="1049" spans="1:8" x14ac:dyDescent="0.3">
      <c r="A1049">
        <f t="shared" si="15"/>
        <v>989</v>
      </c>
      <c r="B1049">
        <v>12622632.496074483</v>
      </c>
      <c r="C1049">
        <v>120001.11706235181</v>
      </c>
      <c r="D1049">
        <v>237.56384229465942</v>
      </c>
      <c r="E1049">
        <v>138.91075599399059</v>
      </c>
      <c r="F1049">
        <v>4.3662229719162813</v>
      </c>
      <c r="G1049">
        <v>8.1098287150332737</v>
      </c>
      <c r="H1049">
        <v>0.98876393065331447</v>
      </c>
    </row>
    <row r="1050" spans="1:8" x14ac:dyDescent="0.3">
      <c r="A1050">
        <f t="shared" si="15"/>
        <v>990</v>
      </c>
      <c r="B1050">
        <v>20595316.286763236</v>
      </c>
      <c r="C1050">
        <v>119995.40715209323</v>
      </c>
      <c r="D1050">
        <v>213.33065041073178</v>
      </c>
      <c r="E1050">
        <v>92.377472909073191</v>
      </c>
      <c r="F1050">
        <v>6.7384950320111194</v>
      </c>
      <c r="G1050">
        <v>8.9569337657277224</v>
      </c>
      <c r="H1050">
        <v>1.0765427749812275</v>
      </c>
    </row>
    <row r="1051" spans="1:8" x14ac:dyDescent="0.3">
      <c r="A1051">
        <f t="shared" si="15"/>
        <v>991</v>
      </c>
      <c r="B1051">
        <v>24632120.15822725</v>
      </c>
      <c r="C1051">
        <v>120000.56807963987</v>
      </c>
      <c r="D1051">
        <v>185.62311092505777</v>
      </c>
      <c r="E1051">
        <v>87.598423569142668</v>
      </c>
      <c r="F1051">
        <v>6.4073800684451125</v>
      </c>
      <c r="G1051">
        <v>7.8775457437330285</v>
      </c>
      <c r="H1051">
        <v>0.99648322696176028</v>
      </c>
    </row>
    <row r="1052" spans="1:8" x14ac:dyDescent="0.3">
      <c r="A1052">
        <f t="shared" si="15"/>
        <v>992</v>
      </c>
      <c r="B1052">
        <v>22863281.94774352</v>
      </c>
      <c r="C1052">
        <v>119994.37203902793</v>
      </c>
      <c r="D1052">
        <v>218.43122352683307</v>
      </c>
      <c r="E1052">
        <v>70.172957227408517</v>
      </c>
      <c r="F1052">
        <v>1.906565012547532</v>
      </c>
      <c r="G1052">
        <v>12.483053823455601</v>
      </c>
      <c r="H1052">
        <v>0.81031981333937253</v>
      </c>
    </row>
    <row r="1053" spans="1:8" x14ac:dyDescent="0.3">
      <c r="A1053">
        <f t="shared" si="15"/>
        <v>993</v>
      </c>
      <c r="B1053">
        <v>21525002.266504437</v>
      </c>
      <c r="C1053">
        <v>119997.65498416887</v>
      </c>
      <c r="D1053">
        <v>198.121378476556</v>
      </c>
      <c r="E1053">
        <v>107.22132549286161</v>
      </c>
      <c r="F1053">
        <v>2.9269755022063784</v>
      </c>
      <c r="G1053">
        <v>9.1282004919756261</v>
      </c>
      <c r="H1053">
        <v>1.1076428525220812</v>
      </c>
    </row>
    <row r="1054" spans="1:8" x14ac:dyDescent="0.3">
      <c r="A1054">
        <f t="shared" si="15"/>
        <v>994</v>
      </c>
      <c r="B1054">
        <v>28780456.767120939</v>
      </c>
      <c r="C1054">
        <v>120001.71486373428</v>
      </c>
      <c r="D1054">
        <v>149.6019519048788</v>
      </c>
      <c r="E1054">
        <v>81.896874384509459</v>
      </c>
      <c r="F1054">
        <v>5.6582034743519634</v>
      </c>
      <c r="G1054">
        <v>13.101111760656508</v>
      </c>
      <c r="H1054">
        <v>0.96900490491400515</v>
      </c>
    </row>
    <row r="1055" spans="1:8" x14ac:dyDescent="0.3">
      <c r="A1055">
        <f t="shared" si="15"/>
        <v>995</v>
      </c>
      <c r="B1055">
        <v>16741450.139143407</v>
      </c>
      <c r="C1055">
        <v>119997.81775354641</v>
      </c>
      <c r="D1055">
        <v>230.78599236760226</v>
      </c>
      <c r="E1055">
        <v>105.269477154665</v>
      </c>
      <c r="F1055">
        <v>6.469054531455237</v>
      </c>
      <c r="G1055">
        <v>11.831340184529621</v>
      </c>
      <c r="H1055">
        <v>1.1030749780623097</v>
      </c>
    </row>
    <row r="1056" spans="1:8" x14ac:dyDescent="0.3">
      <c r="A1056">
        <f t="shared" si="15"/>
        <v>996</v>
      </c>
      <c r="B1056">
        <v>18862312.693731599</v>
      </c>
      <c r="C1056">
        <v>119998.87114404602</v>
      </c>
      <c r="D1056">
        <v>203.94340425311492</v>
      </c>
      <c r="E1056">
        <v>124.15446794763098</v>
      </c>
      <c r="F1056">
        <v>1.1312505930705896</v>
      </c>
      <c r="G1056">
        <v>5.1994447878960619</v>
      </c>
      <c r="H1056">
        <v>0.96993228363824047</v>
      </c>
    </row>
    <row r="1057" spans="1:8" x14ac:dyDescent="0.3">
      <c r="A1057">
        <f t="shared" si="15"/>
        <v>997</v>
      </c>
      <c r="B1057">
        <v>18792691.152857684</v>
      </c>
      <c r="C1057">
        <v>119997.39151344947</v>
      </c>
      <c r="D1057">
        <v>246.91778991618651</v>
      </c>
      <c r="E1057">
        <v>72.2904612128699</v>
      </c>
      <c r="F1057">
        <v>5.6629974917866788</v>
      </c>
      <c r="G1057">
        <v>10.197697290125943</v>
      </c>
      <c r="H1057">
        <v>0.97694447918937488</v>
      </c>
    </row>
    <row r="1058" spans="1:8" x14ac:dyDescent="0.3">
      <c r="A1058">
        <f t="shared" si="15"/>
        <v>998</v>
      </c>
      <c r="B1058">
        <v>36041224.948727399</v>
      </c>
      <c r="C1058">
        <v>119992.13822778701</v>
      </c>
      <c r="D1058">
        <v>64.148412173653426</v>
      </c>
      <c r="E1058">
        <v>111.61646358906282</v>
      </c>
      <c r="F1058">
        <v>3.5142717743864047</v>
      </c>
      <c r="G1058">
        <v>10.953327436179986</v>
      </c>
      <c r="H1058">
        <v>1.0018372418114452</v>
      </c>
    </row>
    <row r="1059" spans="1:8" x14ac:dyDescent="0.3">
      <c r="A1059">
        <f t="shared" si="15"/>
        <v>999</v>
      </c>
      <c r="B1059">
        <v>20799032.2615356</v>
      </c>
      <c r="C1059">
        <v>119997.44565250816</v>
      </c>
      <c r="D1059">
        <v>196.04503747213633</v>
      </c>
      <c r="E1059">
        <v>106.79510394400586</v>
      </c>
      <c r="F1059">
        <v>10.826998441978361</v>
      </c>
      <c r="G1059">
        <v>7.7283092454183997</v>
      </c>
      <c r="H1059">
        <v>0.98218955226722537</v>
      </c>
    </row>
    <row r="1060" spans="1:8" x14ac:dyDescent="0.3">
      <c r="A1060">
        <f t="shared" si="15"/>
        <v>1000</v>
      </c>
      <c r="B1060">
        <v>6672090.3569869325</v>
      </c>
      <c r="C1060">
        <v>120000.60475341624</v>
      </c>
      <c r="D1060">
        <v>314.33706112697297</v>
      </c>
      <c r="E1060">
        <v>111.84150361589347</v>
      </c>
      <c r="F1060">
        <v>6.07628710290399</v>
      </c>
      <c r="G1060">
        <v>9.1053532673233519</v>
      </c>
      <c r="H1060">
        <v>1.0211875813086826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1EE7-599D-4662-B66C-0DA428D0157D}">
  <dimension ref="B2:U228"/>
  <sheetViews>
    <sheetView tabSelected="1" workbookViewId="0">
      <selection activeCell="O46" sqref="O46"/>
    </sheetView>
  </sheetViews>
  <sheetFormatPr defaultRowHeight="14.4" x14ac:dyDescent="0.3"/>
  <cols>
    <col min="2" max="2" width="8.88671875" customWidth="1"/>
    <col min="3" max="3" width="23.109375" customWidth="1"/>
    <col min="4" max="4" width="16.21875" customWidth="1"/>
    <col min="5" max="5" width="15.6640625" bestFit="1" customWidth="1"/>
    <col min="6" max="6" width="13.6640625" bestFit="1" customWidth="1"/>
    <col min="7" max="7" width="13.5546875" bestFit="1" customWidth="1"/>
    <col min="9" max="9" width="12.109375" bestFit="1" customWidth="1"/>
    <col min="10" max="10" width="12.44140625" bestFit="1" customWidth="1"/>
    <col min="11" max="11" width="14.6640625" customWidth="1"/>
    <col min="12" max="12" width="14.6640625" bestFit="1" customWidth="1"/>
    <col min="13" max="13" width="19.44140625" bestFit="1" customWidth="1"/>
    <col min="14" max="14" width="16.88671875" customWidth="1"/>
    <col min="15" max="16" width="14.44140625" bestFit="1" customWidth="1"/>
    <col min="17" max="18" width="9" bestFit="1" customWidth="1"/>
    <col min="19" max="19" width="11.77734375" bestFit="1" customWidth="1"/>
  </cols>
  <sheetData>
    <row r="2" spans="2:9" x14ac:dyDescent="0.3">
      <c r="B2" s="4" t="s">
        <v>59</v>
      </c>
    </row>
    <row r="3" spans="2:9" x14ac:dyDescent="0.3">
      <c r="C3" s="1" t="s">
        <v>60</v>
      </c>
      <c r="D3" s="1" t="s">
        <v>61</v>
      </c>
      <c r="E3" s="1" t="s">
        <v>62</v>
      </c>
    </row>
    <row r="4" spans="2:9" x14ac:dyDescent="0.3">
      <c r="C4" s="1" t="s">
        <v>63</v>
      </c>
      <c r="D4" s="1">
        <v>500000</v>
      </c>
      <c r="E4" s="1">
        <v>50000</v>
      </c>
    </row>
    <row r="5" spans="2:9" x14ac:dyDescent="0.3">
      <c r="C5" s="1" t="s">
        <v>64</v>
      </c>
      <c r="D5" s="1">
        <v>700000</v>
      </c>
      <c r="E5" s="1">
        <v>90000</v>
      </c>
    </row>
    <row r="6" spans="2:9" x14ac:dyDescent="0.3">
      <c r="C6" s="1" t="s">
        <v>65</v>
      </c>
      <c r="D6" s="1">
        <v>900000</v>
      </c>
      <c r="E6" s="1">
        <v>120000</v>
      </c>
    </row>
    <row r="7" spans="2:9" x14ac:dyDescent="0.3">
      <c r="C7" s="1" t="s">
        <v>66</v>
      </c>
      <c r="D7" s="1">
        <v>800000</v>
      </c>
      <c r="E7" s="1">
        <v>65000</v>
      </c>
    </row>
    <row r="8" spans="2:9" x14ac:dyDescent="0.3">
      <c r="C8" s="1" t="s">
        <v>67</v>
      </c>
      <c r="D8" s="1">
        <v>1000000</v>
      </c>
      <c r="E8" s="1">
        <v>120000</v>
      </c>
    </row>
    <row r="9" spans="2:9" x14ac:dyDescent="0.3">
      <c r="C9" s="1" t="s">
        <v>68</v>
      </c>
      <c r="D9" s="1">
        <v>600000</v>
      </c>
      <c r="E9" s="1">
        <v>70000</v>
      </c>
    </row>
    <row r="12" spans="2:9" x14ac:dyDescent="0.3">
      <c r="C12" s="1" t="s">
        <v>69</v>
      </c>
      <c r="D12" s="1" t="s">
        <v>63</v>
      </c>
      <c r="E12" s="1" t="s">
        <v>64</v>
      </c>
      <c r="F12" s="1" t="s">
        <v>65</v>
      </c>
      <c r="G12" s="1" t="s">
        <v>66</v>
      </c>
      <c r="H12" s="1" t="s">
        <v>67</v>
      </c>
      <c r="I12" s="1" t="s">
        <v>68</v>
      </c>
    </row>
    <row r="13" spans="2:9" x14ac:dyDescent="0.3">
      <c r="C13" s="1" t="s">
        <v>70</v>
      </c>
      <c r="D13" s="1">
        <v>6.32</v>
      </c>
      <c r="E13" s="1">
        <v>6.32</v>
      </c>
      <c r="F13" s="1">
        <v>3.68</v>
      </c>
      <c r="G13" s="1">
        <v>4.04</v>
      </c>
      <c r="H13" s="1">
        <v>5.76</v>
      </c>
      <c r="I13" s="1">
        <v>5.96</v>
      </c>
    </row>
    <row r="14" spans="2:9" x14ac:dyDescent="0.3">
      <c r="C14" s="1" t="s">
        <v>71</v>
      </c>
      <c r="D14" s="1">
        <v>6.6</v>
      </c>
      <c r="E14" s="1">
        <v>6.6</v>
      </c>
      <c r="F14" s="1">
        <v>5.76</v>
      </c>
      <c r="G14" s="1">
        <v>5.92</v>
      </c>
      <c r="H14" s="1">
        <v>3.68</v>
      </c>
      <c r="I14" s="1">
        <v>4.08</v>
      </c>
    </row>
    <row r="15" spans="2:9" x14ac:dyDescent="0.3">
      <c r="C15" s="1" t="s">
        <v>72</v>
      </c>
      <c r="D15" s="1">
        <v>6.72</v>
      </c>
      <c r="E15" s="1">
        <v>6.48</v>
      </c>
      <c r="F15" s="1">
        <v>5.92</v>
      </c>
      <c r="G15" s="1">
        <v>4.08</v>
      </c>
      <c r="H15" s="1">
        <v>4.04</v>
      </c>
      <c r="I15" s="1">
        <v>3.64</v>
      </c>
    </row>
    <row r="16" spans="2:9" x14ac:dyDescent="0.3">
      <c r="C16" s="1" t="s">
        <v>73</v>
      </c>
      <c r="D16" s="1">
        <v>4.3600000000000003</v>
      </c>
      <c r="E16" s="1">
        <v>3.68</v>
      </c>
      <c r="F16" s="1">
        <v>6.32</v>
      </c>
      <c r="G16" s="1">
        <v>6.32</v>
      </c>
      <c r="H16" s="1">
        <v>6.72</v>
      </c>
      <c r="I16" s="1">
        <v>6.6</v>
      </c>
    </row>
    <row r="18" spans="2:21" x14ac:dyDescent="0.3">
      <c r="H18" t="s">
        <v>70</v>
      </c>
    </row>
    <row r="19" spans="2:21" x14ac:dyDescent="0.3">
      <c r="C19" s="3" t="s">
        <v>74</v>
      </c>
      <c r="D19" s="3" t="s">
        <v>75</v>
      </c>
      <c r="E19" s="3" t="s">
        <v>76</v>
      </c>
      <c r="F19" s="3" t="s">
        <v>77</v>
      </c>
      <c r="H19" s="3" t="s">
        <v>74</v>
      </c>
      <c r="I19" s="3" t="s">
        <v>75</v>
      </c>
      <c r="J19" s="3" t="s">
        <v>76</v>
      </c>
      <c r="K19" s="3" t="s">
        <v>77</v>
      </c>
    </row>
    <row r="20" spans="2:21" x14ac:dyDescent="0.3">
      <c r="C20" s="2" t="s">
        <v>78</v>
      </c>
      <c r="D20" s="2">
        <v>2000000</v>
      </c>
      <c r="E20" s="2">
        <v>2200000</v>
      </c>
      <c r="F20" s="2">
        <v>10</v>
      </c>
      <c r="H20" s="2" t="s">
        <v>78</v>
      </c>
      <c r="I20" s="2">
        <v>5000000</v>
      </c>
      <c r="J20" s="2">
        <v>5000000</v>
      </c>
      <c r="K20" s="2">
        <v>10</v>
      </c>
    </row>
    <row r="21" spans="2:21" x14ac:dyDescent="0.3">
      <c r="C21" s="2" t="s">
        <v>79</v>
      </c>
      <c r="D21" s="2">
        <v>1000000</v>
      </c>
      <c r="E21" s="2">
        <v>1500000</v>
      </c>
      <c r="F21" s="2">
        <v>20</v>
      </c>
      <c r="H21" s="2" t="s">
        <v>79</v>
      </c>
      <c r="I21" s="2">
        <v>1000000</v>
      </c>
      <c r="J21" s="2">
        <v>1500000</v>
      </c>
      <c r="K21" s="2">
        <v>20</v>
      </c>
    </row>
    <row r="24" spans="2:21" x14ac:dyDescent="0.3">
      <c r="B24" s="4" t="s">
        <v>80</v>
      </c>
      <c r="C24" s="9" t="s">
        <v>109</v>
      </c>
      <c r="O24" s="11" t="s">
        <v>108</v>
      </c>
      <c r="P24" s="11"/>
      <c r="Q24" s="11"/>
    </row>
    <row r="25" spans="2:21" x14ac:dyDescent="0.3">
      <c r="C25" s="4" t="s">
        <v>81</v>
      </c>
    </row>
    <row r="26" spans="2:21" x14ac:dyDescent="0.3">
      <c r="P26" t="s">
        <v>78</v>
      </c>
      <c r="S26" t="s">
        <v>79</v>
      </c>
    </row>
    <row r="27" spans="2:21" x14ac:dyDescent="0.3">
      <c r="C27" s="1" t="s">
        <v>69</v>
      </c>
      <c r="D27" s="1" t="s">
        <v>63</v>
      </c>
      <c r="E27" s="1" t="s">
        <v>64</v>
      </c>
      <c r="F27" s="1" t="s">
        <v>65</v>
      </c>
      <c r="G27" s="1" t="s">
        <v>66</v>
      </c>
      <c r="H27" s="1" t="s">
        <v>67</v>
      </c>
      <c r="I27" s="1" t="s">
        <v>68</v>
      </c>
      <c r="J27" s="7" t="s">
        <v>82</v>
      </c>
      <c r="K27" s="1" t="s">
        <v>83</v>
      </c>
      <c r="L27" s="1" t="s">
        <v>84</v>
      </c>
      <c r="M27" s="1" t="s">
        <v>75</v>
      </c>
      <c r="O27" s="1" t="s">
        <v>102</v>
      </c>
      <c r="P27" s="1" t="s">
        <v>53</v>
      </c>
      <c r="Q27" s="1" t="s">
        <v>103</v>
      </c>
      <c r="R27" s="1" t="s">
        <v>50</v>
      </c>
      <c r="S27" s="1" t="s">
        <v>53</v>
      </c>
      <c r="T27" s="1" t="s">
        <v>103</v>
      </c>
      <c r="U27" s="1" t="s">
        <v>50</v>
      </c>
    </row>
    <row r="28" spans="2:21" x14ac:dyDescent="0.3">
      <c r="C28" s="1" t="s">
        <v>70</v>
      </c>
      <c r="D28" s="1">
        <v>0</v>
      </c>
      <c r="E28" s="1">
        <v>0</v>
      </c>
      <c r="F28" s="1">
        <v>900000</v>
      </c>
      <c r="G28" s="1">
        <v>800000.00000000023</v>
      </c>
      <c r="H28" s="1">
        <v>0</v>
      </c>
      <c r="I28" s="5">
        <v>0</v>
      </c>
      <c r="J28" s="5">
        <f>SUM(D28:I28)</f>
        <v>1700000.0000000002</v>
      </c>
      <c r="K28" s="1">
        <v>1</v>
      </c>
      <c r="L28" s="1">
        <f>M28*K28-J28</f>
        <v>3300000</v>
      </c>
      <c r="M28" s="1">
        <v>5000000</v>
      </c>
      <c r="O28" s="1" t="s">
        <v>63</v>
      </c>
      <c r="P28" s="1">
        <v>500000</v>
      </c>
      <c r="Q28" s="1">
        <v>6.32</v>
      </c>
      <c r="R28" s="1">
        <f>P28*Q28</f>
        <v>3160000</v>
      </c>
      <c r="S28" s="1">
        <v>50000</v>
      </c>
      <c r="T28" s="1">
        <v>6.32</v>
      </c>
      <c r="U28" s="1">
        <f>S28*T28</f>
        <v>316000</v>
      </c>
    </row>
    <row r="29" spans="2:21" x14ac:dyDescent="0.3">
      <c r="C29" s="1" t="s">
        <v>71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5">
        <v>0</v>
      </c>
      <c r="J29" s="5">
        <f>SUM(D29:I29)</f>
        <v>0</v>
      </c>
      <c r="K29" s="1">
        <v>0</v>
      </c>
      <c r="L29" s="1">
        <f t="shared" ref="L29:L31" si="0">M29*K29-J29</f>
        <v>0</v>
      </c>
      <c r="M29" s="1">
        <v>2000000</v>
      </c>
      <c r="O29" s="1" t="s">
        <v>64</v>
      </c>
      <c r="P29" s="1">
        <v>700000</v>
      </c>
      <c r="Q29" s="1">
        <v>6.32</v>
      </c>
      <c r="R29" s="1">
        <f t="shared" ref="R29:R33" si="1">P29*Q29</f>
        <v>4424000</v>
      </c>
      <c r="S29" s="1">
        <v>90000</v>
      </c>
      <c r="T29" s="1">
        <v>6.32</v>
      </c>
      <c r="U29" s="1">
        <f t="shared" ref="U29:U33" si="2">S29*T29</f>
        <v>568800</v>
      </c>
    </row>
    <row r="30" spans="2:21" x14ac:dyDescent="0.3">
      <c r="C30" s="1" t="s">
        <v>72</v>
      </c>
      <c r="D30" s="1">
        <v>0</v>
      </c>
      <c r="E30" s="1">
        <v>0</v>
      </c>
      <c r="F30" s="1">
        <v>0</v>
      </c>
      <c r="G30" s="1">
        <v>0</v>
      </c>
      <c r="H30" s="1">
        <v>1000000</v>
      </c>
      <c r="I30" s="5">
        <v>600000</v>
      </c>
      <c r="J30" s="5">
        <f>SUM(D30:I30)</f>
        <v>1600000</v>
      </c>
      <c r="K30" s="1">
        <v>1</v>
      </c>
      <c r="L30" s="1">
        <f t="shared" si="0"/>
        <v>400000</v>
      </c>
      <c r="M30" s="1">
        <v>2000000</v>
      </c>
      <c r="O30" s="1" t="s">
        <v>104</v>
      </c>
      <c r="P30" s="1">
        <v>900000</v>
      </c>
      <c r="Q30" s="1">
        <v>3.68</v>
      </c>
      <c r="R30" s="1">
        <f t="shared" si="1"/>
        <v>3312000</v>
      </c>
      <c r="S30" s="1">
        <v>120000</v>
      </c>
      <c r="T30" s="1">
        <v>3.68</v>
      </c>
      <c r="U30" s="1">
        <f t="shared" si="2"/>
        <v>441600</v>
      </c>
    </row>
    <row r="31" spans="2:21" x14ac:dyDescent="0.3">
      <c r="C31" s="6" t="s">
        <v>73</v>
      </c>
      <c r="D31" s="6">
        <v>500000</v>
      </c>
      <c r="E31" s="6">
        <v>699999.99999999977</v>
      </c>
      <c r="F31" s="6">
        <v>0</v>
      </c>
      <c r="G31" s="6">
        <v>0</v>
      </c>
      <c r="H31" s="6">
        <v>0</v>
      </c>
      <c r="I31" s="7">
        <v>0</v>
      </c>
      <c r="J31" s="7">
        <f>SUM(D31:I31)</f>
        <v>1199999.9999999998</v>
      </c>
      <c r="K31" s="1">
        <v>1</v>
      </c>
      <c r="L31" s="1">
        <f t="shared" si="0"/>
        <v>800000.00000000023</v>
      </c>
      <c r="M31" s="1">
        <v>2000000</v>
      </c>
      <c r="O31" s="1" t="s">
        <v>66</v>
      </c>
      <c r="P31" s="1">
        <v>800000</v>
      </c>
      <c r="Q31" s="1">
        <v>4.04</v>
      </c>
      <c r="R31" s="1">
        <f t="shared" si="1"/>
        <v>3232000</v>
      </c>
      <c r="S31" s="1">
        <v>65000</v>
      </c>
      <c r="T31" s="1">
        <v>4.04</v>
      </c>
      <c r="U31" s="1">
        <f t="shared" si="2"/>
        <v>262600</v>
      </c>
    </row>
    <row r="32" spans="2:21" x14ac:dyDescent="0.3">
      <c r="C32" s="1" t="s">
        <v>85</v>
      </c>
      <c r="D32" s="1">
        <f t="shared" ref="D32:J32" si="3">SUM(D28:D31)</f>
        <v>500000</v>
      </c>
      <c r="E32" s="1">
        <f t="shared" si="3"/>
        <v>699999.99999999977</v>
      </c>
      <c r="F32" s="1">
        <f t="shared" si="3"/>
        <v>900000</v>
      </c>
      <c r="G32" s="1">
        <f t="shared" si="3"/>
        <v>800000.00000000023</v>
      </c>
      <c r="H32" s="1">
        <f t="shared" si="3"/>
        <v>1000000</v>
      </c>
      <c r="I32" s="1">
        <f t="shared" si="3"/>
        <v>600000</v>
      </c>
      <c r="J32" s="1">
        <f t="shared" si="3"/>
        <v>4500000</v>
      </c>
      <c r="K32" s="1">
        <f>SUM(K29:K31)</f>
        <v>2</v>
      </c>
      <c r="O32" s="1" t="s">
        <v>105</v>
      </c>
      <c r="P32" s="1">
        <v>1000000</v>
      </c>
      <c r="Q32" s="1">
        <v>5.76</v>
      </c>
      <c r="R32" s="1">
        <f t="shared" si="1"/>
        <v>5760000</v>
      </c>
      <c r="S32" s="1">
        <v>120000</v>
      </c>
      <c r="T32" s="1">
        <v>5.76</v>
      </c>
      <c r="U32" s="1">
        <f t="shared" si="2"/>
        <v>691200</v>
      </c>
    </row>
    <row r="33" spans="3:21" x14ac:dyDescent="0.3">
      <c r="C33" s="1" t="s">
        <v>53</v>
      </c>
      <c r="D33" s="1">
        <v>500000</v>
      </c>
      <c r="E33" s="1">
        <v>700000</v>
      </c>
      <c r="F33" s="1">
        <v>900000</v>
      </c>
      <c r="G33" s="1">
        <v>800000</v>
      </c>
      <c r="H33" s="1">
        <v>1000000</v>
      </c>
      <c r="I33" s="1">
        <v>600000</v>
      </c>
      <c r="O33" s="1" t="s">
        <v>68</v>
      </c>
      <c r="P33" s="1">
        <v>600000</v>
      </c>
      <c r="Q33" s="1">
        <v>5.96</v>
      </c>
      <c r="R33" s="1">
        <f t="shared" si="1"/>
        <v>3576000</v>
      </c>
      <c r="S33" s="1">
        <v>70000</v>
      </c>
      <c r="T33" s="1">
        <v>5.96</v>
      </c>
      <c r="U33" s="1">
        <f t="shared" si="2"/>
        <v>417200</v>
      </c>
    </row>
    <row r="35" spans="3:21" x14ac:dyDescent="0.3">
      <c r="C35" s="4" t="s">
        <v>86</v>
      </c>
    </row>
    <row r="36" spans="3:21" x14ac:dyDescent="0.3">
      <c r="C36" s="1" t="s">
        <v>69</v>
      </c>
      <c r="D36" s="1" t="s">
        <v>63</v>
      </c>
      <c r="E36" s="1" t="s">
        <v>64</v>
      </c>
      <c r="F36" s="1" t="s">
        <v>65</v>
      </c>
      <c r="G36" s="1" t="s">
        <v>66</v>
      </c>
      <c r="H36" s="1" t="s">
        <v>67</v>
      </c>
      <c r="I36" s="5" t="s">
        <v>68</v>
      </c>
      <c r="J36" s="5" t="s">
        <v>82</v>
      </c>
      <c r="K36" s="1" t="s">
        <v>83</v>
      </c>
      <c r="L36" s="1" t="s">
        <v>84</v>
      </c>
      <c r="M36" s="1" t="s">
        <v>75</v>
      </c>
    </row>
    <row r="37" spans="3:21" x14ac:dyDescent="0.3">
      <c r="C37" s="1" t="s">
        <v>70</v>
      </c>
      <c r="D37" s="1">
        <v>50000</v>
      </c>
      <c r="E37" s="1">
        <v>90000</v>
      </c>
      <c r="F37" s="1">
        <v>120000</v>
      </c>
      <c r="G37" s="1">
        <v>65000</v>
      </c>
      <c r="H37" s="1">
        <v>120000</v>
      </c>
      <c r="I37" s="5">
        <v>70000</v>
      </c>
      <c r="J37" s="5">
        <f>SUM(D37:I37)</f>
        <v>515000</v>
      </c>
      <c r="K37" s="1">
        <v>1</v>
      </c>
      <c r="L37" s="1">
        <f>M37*K37-J37</f>
        <v>485000</v>
      </c>
      <c r="M37" s="1">
        <v>1000000</v>
      </c>
      <c r="O37" t="s">
        <v>106</v>
      </c>
    </row>
    <row r="38" spans="3:21" x14ac:dyDescent="0.3">
      <c r="C38" s="1" t="s">
        <v>71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5">
        <v>0</v>
      </c>
      <c r="J38" s="5">
        <f>SUM(D38:I38)</f>
        <v>0</v>
      </c>
      <c r="K38" s="1">
        <v>0</v>
      </c>
      <c r="L38" s="1">
        <f t="shared" ref="L38:L40" si="4">M38*K38-J38</f>
        <v>0</v>
      </c>
      <c r="M38" s="1">
        <v>1000000</v>
      </c>
      <c r="O38" s="1" t="s">
        <v>107</v>
      </c>
      <c r="P38" s="1" t="s">
        <v>78</v>
      </c>
      <c r="Q38" s="1" t="s">
        <v>79</v>
      </c>
      <c r="R38" s="1" t="s">
        <v>85</v>
      </c>
    </row>
    <row r="39" spans="3:21" x14ac:dyDescent="0.3">
      <c r="C39" s="1" t="s">
        <v>72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5">
        <v>0</v>
      </c>
      <c r="J39" s="5">
        <f>SUM(D39:I39)</f>
        <v>0</v>
      </c>
      <c r="K39" s="1">
        <v>0</v>
      </c>
      <c r="L39" s="1">
        <f t="shared" si="4"/>
        <v>0</v>
      </c>
      <c r="M39" s="1">
        <v>1000000</v>
      </c>
      <c r="O39" s="1" t="s">
        <v>76</v>
      </c>
      <c r="P39" s="1">
        <v>5000000</v>
      </c>
      <c r="Q39" s="1">
        <v>1000000</v>
      </c>
      <c r="R39" s="1">
        <f>SUM(P39:Q39)</f>
        <v>6000000</v>
      </c>
    </row>
    <row r="40" spans="3:21" x14ac:dyDescent="0.3">
      <c r="C40" s="6" t="s">
        <v>73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7">
        <v>0</v>
      </c>
      <c r="J40" s="7">
        <f>SUM(D40:I40)</f>
        <v>0</v>
      </c>
      <c r="K40" s="1">
        <v>0</v>
      </c>
      <c r="L40" s="1">
        <f t="shared" si="4"/>
        <v>0</v>
      </c>
      <c r="M40" s="1">
        <v>1000000</v>
      </c>
      <c r="O40" s="1" t="s">
        <v>77</v>
      </c>
      <c r="P40" s="1">
        <f>SUM(P28:P33)*10</f>
        <v>45000000</v>
      </c>
      <c r="Q40" s="1">
        <f>SUM(S28:S33)*20</f>
        <v>10300000</v>
      </c>
      <c r="R40" s="1">
        <f t="shared" ref="R40:R42" si="5">SUM(P40:Q40)</f>
        <v>55300000</v>
      </c>
    </row>
    <row r="41" spans="3:21" x14ac:dyDescent="0.3">
      <c r="C41" s="1" t="s">
        <v>85</v>
      </c>
      <c r="D41" s="1">
        <f t="shared" ref="D41:J41" si="6">SUM(D37:D40)</f>
        <v>50000</v>
      </c>
      <c r="E41" s="1">
        <f t="shared" si="6"/>
        <v>90000</v>
      </c>
      <c r="F41" s="1">
        <f t="shared" si="6"/>
        <v>120000</v>
      </c>
      <c r="G41" s="1">
        <f t="shared" si="6"/>
        <v>65000</v>
      </c>
      <c r="H41" s="1">
        <f t="shared" si="6"/>
        <v>120000</v>
      </c>
      <c r="I41" s="1">
        <f t="shared" si="6"/>
        <v>70000</v>
      </c>
      <c r="J41" s="1">
        <f t="shared" si="6"/>
        <v>515000</v>
      </c>
      <c r="K41" s="1">
        <f>SUM(K38:K40)</f>
        <v>0</v>
      </c>
      <c r="O41" s="1" t="s">
        <v>87</v>
      </c>
      <c r="P41" s="1">
        <f>SUM(R28:R33)</f>
        <v>23464000</v>
      </c>
      <c r="Q41" s="1">
        <f>SUM(U28:U33)</f>
        <v>2697400</v>
      </c>
      <c r="R41" s="1">
        <f t="shared" si="5"/>
        <v>26161400</v>
      </c>
    </row>
    <row r="42" spans="3:21" x14ac:dyDescent="0.3">
      <c r="C42" s="1" t="s">
        <v>53</v>
      </c>
      <c r="D42" s="1">
        <v>50000</v>
      </c>
      <c r="E42" s="1">
        <v>90000</v>
      </c>
      <c r="F42" s="1">
        <v>120000</v>
      </c>
      <c r="G42" s="1">
        <v>65000</v>
      </c>
      <c r="H42" s="1">
        <v>120000</v>
      </c>
      <c r="I42" s="1">
        <v>70000</v>
      </c>
      <c r="O42" s="10" t="s">
        <v>50</v>
      </c>
      <c r="P42" s="1">
        <f>SUM(P39:P41)</f>
        <v>73464000</v>
      </c>
      <c r="Q42" s="1">
        <f>SUM(Q39:Q41)</f>
        <v>13997400</v>
      </c>
      <c r="R42" s="1">
        <f t="shared" si="5"/>
        <v>87461400</v>
      </c>
    </row>
    <row r="46" spans="3:21" x14ac:dyDescent="0.3">
      <c r="C46" s="1" t="s">
        <v>87</v>
      </c>
      <c r="D46" s="1">
        <f>SUMPRODUCT(D13:I16,D28:I31) + SUMPRODUCT(D13:I16,D37:I40)</f>
        <v>20221400</v>
      </c>
    </row>
    <row r="47" spans="3:21" x14ac:dyDescent="0.3">
      <c r="C47" s="1" t="s">
        <v>77</v>
      </c>
      <c r="D47" s="1">
        <f>F20*J32+F21*J41</f>
        <v>55300000</v>
      </c>
    </row>
    <row r="48" spans="3:21" x14ac:dyDescent="0.3">
      <c r="C48" s="1" t="s">
        <v>76</v>
      </c>
      <c r="D48" s="1">
        <f>E20*K32+E21*K41+K28*J20+K37*J21</f>
        <v>10900000</v>
      </c>
    </row>
    <row r="49" spans="3:16" x14ac:dyDescent="0.3">
      <c r="C49" s="10" t="s">
        <v>50</v>
      </c>
      <c r="D49" s="1">
        <f>D46+D47+D48</f>
        <v>86421400</v>
      </c>
    </row>
    <row r="52" spans="3:16" x14ac:dyDescent="0.3">
      <c r="C52" s="12" t="s">
        <v>88</v>
      </c>
      <c r="D52" s="12"/>
      <c r="E52" s="12"/>
      <c r="F52" s="12"/>
      <c r="G52" s="12"/>
      <c r="H52" s="12"/>
      <c r="I52" s="12"/>
      <c r="J52" s="12"/>
      <c r="K52" s="12"/>
      <c r="L52" s="9"/>
      <c r="M52" s="9"/>
      <c r="N52" s="9"/>
      <c r="O52" s="9"/>
      <c r="P52" s="9"/>
    </row>
    <row r="53" spans="3:16" x14ac:dyDescent="0.3">
      <c r="C53" s="12" t="s">
        <v>89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5" spans="3:16" x14ac:dyDescent="0.3">
      <c r="C55" s="11" t="s">
        <v>110</v>
      </c>
      <c r="D55" s="11"/>
    </row>
    <row r="57" spans="3:16" x14ac:dyDescent="0.3">
      <c r="C57" s="1" t="s">
        <v>69</v>
      </c>
      <c r="D57" s="1" t="s">
        <v>63</v>
      </c>
      <c r="E57" s="1" t="s">
        <v>64</v>
      </c>
      <c r="F57" s="1" t="s">
        <v>65</v>
      </c>
      <c r="G57" s="1" t="s">
        <v>66</v>
      </c>
      <c r="H57" s="1" t="s">
        <v>67</v>
      </c>
      <c r="I57" s="1" t="s">
        <v>68</v>
      </c>
    </row>
    <row r="58" spans="3:16" x14ac:dyDescent="0.3">
      <c r="C58" s="1" t="s">
        <v>70</v>
      </c>
      <c r="D58" s="1">
        <f>D13/2</f>
        <v>3.16</v>
      </c>
      <c r="E58" s="1">
        <f t="shared" ref="E58:I58" si="7">E13/2</f>
        <v>3.16</v>
      </c>
      <c r="F58" s="1">
        <f t="shared" si="7"/>
        <v>1.84</v>
      </c>
      <c r="G58" s="1">
        <f t="shared" si="7"/>
        <v>2.02</v>
      </c>
      <c r="H58" s="1">
        <f t="shared" si="7"/>
        <v>2.88</v>
      </c>
      <c r="I58" s="1">
        <f t="shared" si="7"/>
        <v>2.98</v>
      </c>
    </row>
    <row r="59" spans="3:16" x14ac:dyDescent="0.3">
      <c r="C59" s="1" t="s">
        <v>71</v>
      </c>
      <c r="D59" s="1">
        <f t="shared" ref="D59:I59" si="8">D14/2</f>
        <v>3.3</v>
      </c>
      <c r="E59" s="1">
        <f t="shared" si="8"/>
        <v>3.3</v>
      </c>
      <c r="F59" s="1">
        <f t="shared" si="8"/>
        <v>2.88</v>
      </c>
      <c r="G59" s="1">
        <f t="shared" si="8"/>
        <v>2.96</v>
      </c>
      <c r="H59" s="1">
        <f t="shared" si="8"/>
        <v>1.84</v>
      </c>
      <c r="I59" s="1">
        <f t="shared" si="8"/>
        <v>2.04</v>
      </c>
    </row>
    <row r="60" spans="3:16" x14ac:dyDescent="0.3">
      <c r="C60" s="1" t="s">
        <v>72</v>
      </c>
      <c r="D60" s="1">
        <f t="shared" ref="D60:I60" si="9">D15/2</f>
        <v>3.36</v>
      </c>
      <c r="E60" s="1">
        <f t="shared" si="9"/>
        <v>3.24</v>
      </c>
      <c r="F60" s="1">
        <f t="shared" si="9"/>
        <v>2.96</v>
      </c>
      <c r="G60" s="1">
        <f t="shared" si="9"/>
        <v>2.04</v>
      </c>
      <c r="H60" s="1">
        <f t="shared" si="9"/>
        <v>2.02</v>
      </c>
      <c r="I60" s="1">
        <f t="shared" si="9"/>
        <v>1.82</v>
      </c>
    </row>
    <row r="61" spans="3:16" x14ac:dyDescent="0.3">
      <c r="C61" s="1" t="s">
        <v>73</v>
      </c>
      <c r="D61" s="1">
        <f t="shared" ref="D61:I61" si="10">D16/2</f>
        <v>2.1800000000000002</v>
      </c>
      <c r="E61" s="1">
        <f t="shared" si="10"/>
        <v>1.84</v>
      </c>
      <c r="F61" s="1">
        <f t="shared" si="10"/>
        <v>3.16</v>
      </c>
      <c r="G61" s="1">
        <f t="shared" si="10"/>
        <v>3.16</v>
      </c>
      <c r="H61" s="1">
        <f t="shared" si="10"/>
        <v>3.36</v>
      </c>
      <c r="I61" s="1">
        <f t="shared" si="10"/>
        <v>3.3</v>
      </c>
    </row>
    <row r="64" spans="3:16" x14ac:dyDescent="0.3">
      <c r="C64" s="4" t="s">
        <v>81</v>
      </c>
    </row>
    <row r="66" spans="3:13" x14ac:dyDescent="0.3">
      <c r="C66" s="1" t="s">
        <v>69</v>
      </c>
      <c r="D66" s="1" t="s">
        <v>63</v>
      </c>
      <c r="E66" s="1" t="s">
        <v>64</v>
      </c>
      <c r="F66" s="1" t="s">
        <v>65</v>
      </c>
      <c r="G66" s="1" t="s">
        <v>66</v>
      </c>
      <c r="H66" s="1" t="s">
        <v>67</v>
      </c>
      <c r="I66" s="1" t="s">
        <v>68</v>
      </c>
      <c r="J66" s="7" t="s">
        <v>82</v>
      </c>
      <c r="K66" s="1" t="s">
        <v>83</v>
      </c>
      <c r="L66" s="1" t="s">
        <v>84</v>
      </c>
      <c r="M66" s="1" t="s">
        <v>75</v>
      </c>
    </row>
    <row r="67" spans="3:13" x14ac:dyDescent="0.3">
      <c r="C67" s="1" t="s">
        <v>70</v>
      </c>
      <c r="D67" s="1">
        <v>500000</v>
      </c>
      <c r="E67" s="1">
        <v>700000</v>
      </c>
      <c r="F67" s="1">
        <v>900000</v>
      </c>
      <c r="G67" s="1">
        <v>800000</v>
      </c>
      <c r="H67" s="1">
        <v>1000000</v>
      </c>
      <c r="I67" s="5">
        <v>600000</v>
      </c>
      <c r="J67" s="5">
        <f>SUM(D67:I67)</f>
        <v>4500000</v>
      </c>
      <c r="K67" s="1">
        <v>1</v>
      </c>
      <c r="L67" s="1">
        <f>M67*K67-J67</f>
        <v>500000</v>
      </c>
      <c r="M67" s="1">
        <v>5000000</v>
      </c>
    </row>
    <row r="68" spans="3:13" x14ac:dyDescent="0.3">
      <c r="C68" s="1" t="s">
        <v>71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5">
        <v>0</v>
      </c>
      <c r="J68" s="5">
        <f>SUM(D68:I68)</f>
        <v>0</v>
      </c>
      <c r="K68" s="1">
        <v>0</v>
      </c>
      <c r="L68" s="1">
        <f t="shared" ref="L68:L70" si="11">M68*K68-J68</f>
        <v>0</v>
      </c>
      <c r="M68" s="1">
        <v>2000000</v>
      </c>
    </row>
    <row r="69" spans="3:13" x14ac:dyDescent="0.3">
      <c r="C69" s="1" t="s">
        <v>72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5">
        <v>0</v>
      </c>
      <c r="J69" s="5">
        <f>SUM(D69:I69)</f>
        <v>0</v>
      </c>
      <c r="K69" s="1">
        <v>0</v>
      </c>
      <c r="L69" s="1">
        <f t="shared" si="11"/>
        <v>0</v>
      </c>
      <c r="M69" s="1">
        <v>2000000</v>
      </c>
    </row>
    <row r="70" spans="3:13" x14ac:dyDescent="0.3">
      <c r="C70" s="6" t="s">
        <v>73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7">
        <v>0</v>
      </c>
      <c r="J70" s="7">
        <f>SUM(D70:I70)</f>
        <v>0</v>
      </c>
      <c r="K70" s="1">
        <v>0</v>
      </c>
      <c r="L70" s="1">
        <f t="shared" si="11"/>
        <v>0</v>
      </c>
      <c r="M70" s="1">
        <v>2000000</v>
      </c>
    </row>
    <row r="71" spans="3:13" x14ac:dyDescent="0.3">
      <c r="C71" s="1" t="s">
        <v>85</v>
      </c>
      <c r="D71" s="1">
        <f t="shared" ref="D71:J71" si="12">SUM(D67:D70)</f>
        <v>500000</v>
      </c>
      <c r="E71" s="1">
        <f t="shared" si="12"/>
        <v>700000</v>
      </c>
      <c r="F71" s="1">
        <f t="shared" si="12"/>
        <v>900000</v>
      </c>
      <c r="G71" s="1">
        <f t="shared" si="12"/>
        <v>800000</v>
      </c>
      <c r="H71" s="1">
        <f t="shared" si="12"/>
        <v>1000000</v>
      </c>
      <c r="I71" s="1">
        <f t="shared" si="12"/>
        <v>600000</v>
      </c>
      <c r="J71" s="1">
        <f t="shared" si="12"/>
        <v>4500000</v>
      </c>
      <c r="K71" s="1">
        <f>SUM(K68:K70)</f>
        <v>0</v>
      </c>
    </row>
    <row r="72" spans="3:13" x14ac:dyDescent="0.3">
      <c r="C72" s="1" t="s">
        <v>53</v>
      </c>
      <c r="D72" s="1">
        <v>500000</v>
      </c>
      <c r="E72" s="1">
        <v>700000</v>
      </c>
      <c r="F72" s="1">
        <v>900000</v>
      </c>
      <c r="G72" s="1">
        <v>800000</v>
      </c>
      <c r="H72" s="1">
        <v>1000000</v>
      </c>
      <c r="I72" s="1">
        <v>600000</v>
      </c>
    </row>
    <row r="74" spans="3:13" x14ac:dyDescent="0.3">
      <c r="C74" s="4" t="s">
        <v>86</v>
      </c>
    </row>
    <row r="75" spans="3:13" x14ac:dyDescent="0.3">
      <c r="C75" s="1" t="s">
        <v>69</v>
      </c>
      <c r="D75" s="1" t="s">
        <v>63</v>
      </c>
      <c r="E75" s="1" t="s">
        <v>64</v>
      </c>
      <c r="F75" s="1" t="s">
        <v>65</v>
      </c>
      <c r="G75" s="1" t="s">
        <v>66</v>
      </c>
      <c r="H75" s="1" t="s">
        <v>67</v>
      </c>
      <c r="I75" s="5" t="s">
        <v>68</v>
      </c>
      <c r="J75" s="5" t="s">
        <v>82</v>
      </c>
      <c r="K75" s="1" t="s">
        <v>83</v>
      </c>
      <c r="L75" s="1" t="s">
        <v>84</v>
      </c>
      <c r="M75" s="1" t="s">
        <v>75</v>
      </c>
    </row>
    <row r="76" spans="3:13" x14ac:dyDescent="0.3">
      <c r="C76" s="1" t="s">
        <v>70</v>
      </c>
      <c r="D76" s="1">
        <v>50000</v>
      </c>
      <c r="E76" s="1">
        <v>90000</v>
      </c>
      <c r="F76" s="1">
        <v>120000</v>
      </c>
      <c r="G76" s="1">
        <v>65000</v>
      </c>
      <c r="H76" s="1">
        <v>120000</v>
      </c>
      <c r="I76" s="5">
        <v>70000</v>
      </c>
      <c r="J76" s="5">
        <f>SUM(D76:I76)</f>
        <v>515000</v>
      </c>
      <c r="K76" s="1">
        <v>1</v>
      </c>
      <c r="L76" s="1">
        <f>M76*K76-J76</f>
        <v>485000</v>
      </c>
      <c r="M76" s="1">
        <v>1000000</v>
      </c>
    </row>
    <row r="77" spans="3:13" x14ac:dyDescent="0.3">
      <c r="C77" s="1" t="s">
        <v>71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5">
        <v>0</v>
      </c>
      <c r="J77" s="5">
        <f>SUM(D77:I77)</f>
        <v>0</v>
      </c>
      <c r="K77" s="1">
        <v>0</v>
      </c>
      <c r="L77" s="1">
        <f t="shared" ref="L77:L79" si="13">M77*K77-J77</f>
        <v>0</v>
      </c>
      <c r="M77" s="1">
        <v>1000000</v>
      </c>
    </row>
    <row r="78" spans="3:13" x14ac:dyDescent="0.3">
      <c r="C78" s="1" t="s">
        <v>72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5">
        <v>0</v>
      </c>
      <c r="J78" s="5">
        <f>SUM(D78:I78)</f>
        <v>0</v>
      </c>
      <c r="K78" s="1">
        <v>0</v>
      </c>
      <c r="L78" s="1">
        <f t="shared" si="13"/>
        <v>0</v>
      </c>
      <c r="M78" s="1">
        <v>1000000</v>
      </c>
    </row>
    <row r="79" spans="3:13" x14ac:dyDescent="0.3">
      <c r="C79" s="6" t="s">
        <v>73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7">
        <v>0</v>
      </c>
      <c r="J79" s="7">
        <f>SUM(D79:I79)</f>
        <v>0</v>
      </c>
      <c r="K79" s="1">
        <v>0</v>
      </c>
      <c r="L79" s="1">
        <f t="shared" si="13"/>
        <v>0</v>
      </c>
      <c r="M79" s="1">
        <v>1000000</v>
      </c>
    </row>
    <row r="80" spans="3:13" x14ac:dyDescent="0.3">
      <c r="C80" s="1" t="s">
        <v>85</v>
      </c>
      <c r="D80" s="1">
        <f t="shared" ref="D80:J80" si="14">SUM(D76:D79)</f>
        <v>50000</v>
      </c>
      <c r="E80" s="1">
        <f t="shared" si="14"/>
        <v>90000</v>
      </c>
      <c r="F80" s="1">
        <f t="shared" si="14"/>
        <v>120000</v>
      </c>
      <c r="G80" s="1">
        <f t="shared" si="14"/>
        <v>65000</v>
      </c>
      <c r="H80" s="1">
        <f t="shared" si="14"/>
        <v>120000</v>
      </c>
      <c r="I80" s="1">
        <f t="shared" si="14"/>
        <v>70000</v>
      </c>
      <c r="J80" s="1">
        <f t="shared" si="14"/>
        <v>515000</v>
      </c>
      <c r="K80" s="1">
        <f>SUM(K77:K79)</f>
        <v>0</v>
      </c>
    </row>
    <row r="81" spans="3:9" x14ac:dyDescent="0.3">
      <c r="C81" s="1" t="s">
        <v>53</v>
      </c>
      <c r="D81" s="1">
        <v>50000</v>
      </c>
      <c r="E81" s="1">
        <v>90000</v>
      </c>
      <c r="F81" s="1">
        <v>120000</v>
      </c>
      <c r="G81" s="1">
        <v>65000</v>
      </c>
      <c r="H81" s="1">
        <v>120000</v>
      </c>
      <c r="I81" s="1">
        <v>70000</v>
      </c>
    </row>
    <row r="85" spans="3:9" x14ac:dyDescent="0.3">
      <c r="C85" s="1" t="s">
        <v>87</v>
      </c>
      <c r="D85" s="1">
        <f>SUMPRODUCT(D58:I61,D67:I70) + SUMPRODUCT(D58:I61,D76:I79)</f>
        <v>13080700</v>
      </c>
    </row>
    <row r="86" spans="3:9" x14ac:dyDescent="0.3">
      <c r="C86" s="1" t="s">
        <v>77</v>
      </c>
      <c r="D86" s="1">
        <f>F20*J71+F21*J80</f>
        <v>55300000</v>
      </c>
    </row>
    <row r="87" spans="3:9" x14ac:dyDescent="0.3">
      <c r="C87" s="1" t="s">
        <v>76</v>
      </c>
      <c r="D87" s="1">
        <f>K71*E20+K80*E21+K67*J20+K76*J21</f>
        <v>6500000</v>
      </c>
    </row>
    <row r="88" spans="3:9" x14ac:dyDescent="0.3">
      <c r="C88" s="10" t="s">
        <v>50</v>
      </c>
      <c r="D88" s="1">
        <f>D85+D86+D87</f>
        <v>74880700</v>
      </c>
    </row>
    <row r="91" spans="3:9" x14ac:dyDescent="0.3">
      <c r="C91" s="11" t="s">
        <v>111</v>
      </c>
      <c r="D91" s="11"/>
    </row>
    <row r="93" spans="3:9" x14ac:dyDescent="0.3">
      <c r="C93" s="1" t="s">
        <v>69</v>
      </c>
      <c r="D93" s="1" t="s">
        <v>63</v>
      </c>
      <c r="E93" s="1" t="s">
        <v>64</v>
      </c>
      <c r="F93" s="1" t="s">
        <v>65</v>
      </c>
      <c r="G93" s="1" t="s">
        <v>66</v>
      </c>
      <c r="H93" s="1" t="s">
        <v>67</v>
      </c>
      <c r="I93" s="1" t="s">
        <v>68</v>
      </c>
    </row>
    <row r="94" spans="3:9" x14ac:dyDescent="0.3">
      <c r="C94" s="1" t="s">
        <v>70</v>
      </c>
      <c r="D94" s="1">
        <f>D13*2</f>
        <v>12.64</v>
      </c>
      <c r="E94" s="1">
        <f t="shared" ref="E94:I94" si="15">E13*2</f>
        <v>12.64</v>
      </c>
      <c r="F94" s="1">
        <f t="shared" si="15"/>
        <v>7.36</v>
      </c>
      <c r="G94" s="1">
        <f t="shared" si="15"/>
        <v>8.08</v>
      </c>
      <c r="H94" s="1">
        <f t="shared" si="15"/>
        <v>11.52</v>
      </c>
      <c r="I94" s="1">
        <f t="shared" si="15"/>
        <v>11.92</v>
      </c>
    </row>
    <row r="95" spans="3:9" x14ac:dyDescent="0.3">
      <c r="C95" s="1" t="s">
        <v>71</v>
      </c>
      <c r="D95" s="1">
        <f t="shared" ref="D95:I95" si="16">D14*2</f>
        <v>13.2</v>
      </c>
      <c r="E95" s="1">
        <f t="shared" si="16"/>
        <v>13.2</v>
      </c>
      <c r="F95" s="1">
        <f t="shared" si="16"/>
        <v>11.52</v>
      </c>
      <c r="G95" s="1">
        <f t="shared" si="16"/>
        <v>11.84</v>
      </c>
      <c r="H95" s="1">
        <f t="shared" si="16"/>
        <v>7.36</v>
      </c>
      <c r="I95" s="1">
        <f t="shared" si="16"/>
        <v>8.16</v>
      </c>
    </row>
    <row r="96" spans="3:9" x14ac:dyDescent="0.3">
      <c r="C96" s="1" t="s">
        <v>72</v>
      </c>
      <c r="D96" s="1">
        <f t="shared" ref="D96:I96" si="17">D15*2</f>
        <v>13.44</v>
      </c>
      <c r="E96" s="1">
        <f t="shared" si="17"/>
        <v>12.96</v>
      </c>
      <c r="F96" s="1">
        <f t="shared" si="17"/>
        <v>11.84</v>
      </c>
      <c r="G96" s="1">
        <f t="shared" si="17"/>
        <v>8.16</v>
      </c>
      <c r="H96" s="1">
        <f t="shared" si="17"/>
        <v>8.08</v>
      </c>
      <c r="I96" s="1">
        <f t="shared" si="17"/>
        <v>7.28</v>
      </c>
    </row>
    <row r="97" spans="3:13" x14ac:dyDescent="0.3">
      <c r="C97" s="1" t="s">
        <v>73</v>
      </c>
      <c r="D97" s="1">
        <f t="shared" ref="D97:I97" si="18">D16*2</f>
        <v>8.7200000000000006</v>
      </c>
      <c r="E97" s="1">
        <f t="shared" si="18"/>
        <v>7.36</v>
      </c>
      <c r="F97" s="1">
        <f t="shared" si="18"/>
        <v>12.64</v>
      </c>
      <c r="G97" s="1">
        <f t="shared" si="18"/>
        <v>12.64</v>
      </c>
      <c r="H97" s="1">
        <f t="shared" si="18"/>
        <v>13.44</v>
      </c>
      <c r="I97" s="1">
        <f t="shared" si="18"/>
        <v>13.2</v>
      </c>
    </row>
    <row r="100" spans="3:13" x14ac:dyDescent="0.3">
      <c r="C100" s="4" t="s">
        <v>81</v>
      </c>
    </row>
    <row r="102" spans="3:13" x14ac:dyDescent="0.3">
      <c r="C102" s="1" t="s">
        <v>69</v>
      </c>
      <c r="D102" s="1" t="s">
        <v>63</v>
      </c>
      <c r="E102" s="1" t="s">
        <v>64</v>
      </c>
      <c r="F102" s="1" t="s">
        <v>65</v>
      </c>
      <c r="G102" s="1" t="s">
        <v>66</v>
      </c>
      <c r="H102" s="1" t="s">
        <v>67</v>
      </c>
      <c r="I102" s="1" t="s">
        <v>68</v>
      </c>
      <c r="J102" s="7" t="s">
        <v>82</v>
      </c>
      <c r="K102" s="1" t="s">
        <v>83</v>
      </c>
      <c r="L102" s="1" t="s">
        <v>84</v>
      </c>
      <c r="M102" s="1" t="s">
        <v>75</v>
      </c>
    </row>
    <row r="103" spans="3:13" x14ac:dyDescent="0.3">
      <c r="C103" s="1" t="s">
        <v>70</v>
      </c>
      <c r="D103" s="1">
        <v>0</v>
      </c>
      <c r="E103" s="1">
        <v>0</v>
      </c>
      <c r="F103" s="1">
        <v>899999.99999999977</v>
      </c>
      <c r="G103" s="1">
        <v>800000.00000000023</v>
      </c>
      <c r="H103" s="1">
        <v>0</v>
      </c>
      <c r="I103" s="5">
        <v>0</v>
      </c>
      <c r="J103" s="5">
        <f>SUM(D103:I103)</f>
        <v>1700000</v>
      </c>
      <c r="K103" s="1">
        <v>1</v>
      </c>
      <c r="L103" s="1">
        <f>M103*K103-J103</f>
        <v>3300000</v>
      </c>
      <c r="M103" s="1">
        <v>5000000</v>
      </c>
    </row>
    <row r="104" spans="3:13" x14ac:dyDescent="0.3">
      <c r="C104" s="1" t="s">
        <v>71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5">
        <v>0</v>
      </c>
      <c r="J104" s="5">
        <f>SUM(D104:I104)</f>
        <v>0</v>
      </c>
      <c r="K104" s="1">
        <v>0</v>
      </c>
      <c r="L104" s="1">
        <f t="shared" ref="L104:L106" si="19">M104*K104-J104</f>
        <v>0</v>
      </c>
      <c r="M104" s="1">
        <v>2000000</v>
      </c>
    </row>
    <row r="105" spans="3:13" x14ac:dyDescent="0.3">
      <c r="C105" s="1" t="s">
        <v>72</v>
      </c>
      <c r="D105" s="1">
        <v>0</v>
      </c>
      <c r="E105" s="1">
        <v>0</v>
      </c>
      <c r="F105" s="1">
        <v>0</v>
      </c>
      <c r="G105" s="1">
        <v>0</v>
      </c>
      <c r="H105" s="1">
        <v>1000000</v>
      </c>
      <c r="I105" s="5">
        <v>600000</v>
      </c>
      <c r="J105" s="5">
        <f>SUM(D105:I105)</f>
        <v>1600000</v>
      </c>
      <c r="K105" s="1">
        <v>1</v>
      </c>
      <c r="L105" s="1">
        <f t="shared" si="19"/>
        <v>400000</v>
      </c>
      <c r="M105" s="1">
        <v>2000000</v>
      </c>
    </row>
    <row r="106" spans="3:13" x14ac:dyDescent="0.3">
      <c r="C106" s="6" t="s">
        <v>73</v>
      </c>
      <c r="D106" s="6">
        <v>500000</v>
      </c>
      <c r="E106" s="6">
        <v>699999.99999999977</v>
      </c>
      <c r="F106" s="6">
        <v>0</v>
      </c>
      <c r="G106" s="6">
        <v>0</v>
      </c>
      <c r="H106" s="6">
        <v>0</v>
      </c>
      <c r="I106" s="7">
        <v>0</v>
      </c>
      <c r="J106" s="7">
        <f>SUM(D106:I106)</f>
        <v>1199999.9999999998</v>
      </c>
      <c r="K106" s="1">
        <v>1</v>
      </c>
      <c r="L106" s="1">
        <f t="shared" si="19"/>
        <v>800000.00000000023</v>
      </c>
      <c r="M106" s="1">
        <v>2000000</v>
      </c>
    </row>
    <row r="107" spans="3:13" x14ac:dyDescent="0.3">
      <c r="C107" s="1" t="s">
        <v>85</v>
      </c>
      <c r="D107" s="1">
        <f t="shared" ref="D107:J107" si="20">SUM(D103:D106)</f>
        <v>500000</v>
      </c>
      <c r="E107" s="1">
        <f t="shared" si="20"/>
        <v>699999.99999999977</v>
      </c>
      <c r="F107" s="1">
        <f t="shared" si="20"/>
        <v>899999.99999999977</v>
      </c>
      <c r="G107" s="1">
        <f t="shared" si="20"/>
        <v>800000.00000000023</v>
      </c>
      <c r="H107" s="1">
        <f t="shared" si="20"/>
        <v>1000000</v>
      </c>
      <c r="I107" s="1">
        <f t="shared" si="20"/>
        <v>600000</v>
      </c>
      <c r="J107" s="1">
        <f t="shared" si="20"/>
        <v>4500000</v>
      </c>
      <c r="K107" s="1">
        <f>SUM(K104:K106)</f>
        <v>2</v>
      </c>
    </row>
    <row r="108" spans="3:13" x14ac:dyDescent="0.3">
      <c r="C108" s="1" t="s">
        <v>53</v>
      </c>
      <c r="D108" s="1">
        <v>500000</v>
      </c>
      <c r="E108" s="1">
        <v>700000</v>
      </c>
      <c r="F108" s="1">
        <v>900000</v>
      </c>
      <c r="G108" s="1">
        <v>800000</v>
      </c>
      <c r="H108" s="1">
        <v>1000000</v>
      </c>
      <c r="I108" s="1">
        <v>600000</v>
      </c>
    </row>
    <row r="110" spans="3:13" x14ac:dyDescent="0.3">
      <c r="C110" s="4" t="s">
        <v>86</v>
      </c>
    </row>
    <row r="111" spans="3:13" x14ac:dyDescent="0.3">
      <c r="C111" s="1" t="s">
        <v>69</v>
      </c>
      <c r="D111" s="1" t="s">
        <v>63</v>
      </c>
      <c r="E111" s="1" t="s">
        <v>64</v>
      </c>
      <c r="F111" s="1" t="s">
        <v>65</v>
      </c>
      <c r="G111" s="1" t="s">
        <v>66</v>
      </c>
      <c r="H111" s="1" t="s">
        <v>67</v>
      </c>
      <c r="I111" s="5" t="s">
        <v>68</v>
      </c>
      <c r="J111" s="5" t="s">
        <v>82</v>
      </c>
      <c r="K111" s="1" t="s">
        <v>83</v>
      </c>
      <c r="L111" s="1" t="s">
        <v>84</v>
      </c>
      <c r="M111" s="1" t="s">
        <v>75</v>
      </c>
    </row>
    <row r="112" spans="3:13" x14ac:dyDescent="0.3">
      <c r="C112" s="1" t="s">
        <v>70</v>
      </c>
      <c r="D112" s="1">
        <v>50000</v>
      </c>
      <c r="E112" s="1">
        <v>90000</v>
      </c>
      <c r="F112" s="1">
        <v>120000</v>
      </c>
      <c r="G112" s="1">
        <v>65000</v>
      </c>
      <c r="H112" s="1">
        <v>120000</v>
      </c>
      <c r="I112" s="5">
        <v>70000</v>
      </c>
      <c r="J112" s="5">
        <f>SUM(D112:I112)</f>
        <v>515000</v>
      </c>
      <c r="K112" s="1">
        <v>1</v>
      </c>
      <c r="L112" s="1">
        <f>M112*K112-J112</f>
        <v>485000</v>
      </c>
      <c r="M112" s="1">
        <v>1000000</v>
      </c>
    </row>
    <row r="113" spans="3:13" x14ac:dyDescent="0.3">
      <c r="C113" s="1" t="s">
        <v>71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5">
        <v>0</v>
      </c>
      <c r="J113" s="5">
        <f>SUM(D113:I113)</f>
        <v>0</v>
      </c>
      <c r="K113" s="1">
        <v>0</v>
      </c>
      <c r="L113" s="1">
        <f t="shared" ref="L113:L115" si="21">M113*K113-J113</f>
        <v>0</v>
      </c>
      <c r="M113" s="1">
        <v>1000000</v>
      </c>
    </row>
    <row r="114" spans="3:13" x14ac:dyDescent="0.3">
      <c r="C114" s="1" t="s">
        <v>72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5">
        <v>0</v>
      </c>
      <c r="J114" s="5">
        <f>SUM(D114:I114)</f>
        <v>0</v>
      </c>
      <c r="K114" s="1">
        <v>0</v>
      </c>
      <c r="L114" s="1">
        <f t="shared" si="21"/>
        <v>0</v>
      </c>
      <c r="M114" s="1">
        <v>1000000</v>
      </c>
    </row>
    <row r="115" spans="3:13" x14ac:dyDescent="0.3">
      <c r="C115" s="6" t="s">
        <v>73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7">
        <v>0</v>
      </c>
      <c r="J115" s="7">
        <f>SUM(D115:I115)</f>
        <v>0</v>
      </c>
      <c r="K115" s="1">
        <v>0</v>
      </c>
      <c r="L115" s="1">
        <f t="shared" si="21"/>
        <v>0</v>
      </c>
      <c r="M115" s="1">
        <v>1000000</v>
      </c>
    </row>
    <row r="116" spans="3:13" x14ac:dyDescent="0.3">
      <c r="C116" s="1" t="s">
        <v>85</v>
      </c>
      <c r="D116" s="1">
        <f t="shared" ref="D116:J116" si="22">SUM(D112:D115)</f>
        <v>50000</v>
      </c>
      <c r="E116" s="1">
        <f t="shared" si="22"/>
        <v>90000</v>
      </c>
      <c r="F116" s="1">
        <f t="shared" si="22"/>
        <v>120000</v>
      </c>
      <c r="G116" s="1">
        <f t="shared" si="22"/>
        <v>65000</v>
      </c>
      <c r="H116" s="1">
        <f t="shared" si="22"/>
        <v>120000</v>
      </c>
      <c r="I116" s="1">
        <f t="shared" si="22"/>
        <v>70000</v>
      </c>
      <c r="J116" s="1">
        <f t="shared" si="22"/>
        <v>515000</v>
      </c>
      <c r="K116" s="1">
        <f>SUM(K113:K115)</f>
        <v>0</v>
      </c>
    </row>
    <row r="117" spans="3:13" x14ac:dyDescent="0.3">
      <c r="C117" s="1" t="s">
        <v>53</v>
      </c>
      <c r="D117" s="1">
        <v>50000</v>
      </c>
      <c r="E117" s="1">
        <v>90000</v>
      </c>
      <c r="F117" s="1">
        <v>120000</v>
      </c>
      <c r="G117" s="1">
        <v>65000</v>
      </c>
      <c r="H117" s="1">
        <v>120000</v>
      </c>
      <c r="I117" s="1">
        <v>70000</v>
      </c>
    </row>
    <row r="121" spans="3:13" x14ac:dyDescent="0.3">
      <c r="C121" s="1" t="s">
        <v>87</v>
      </c>
      <c r="D121" s="1">
        <f>SUMPRODUCT(D94:I97,D103:I106) + SUMPRODUCT(D94:I97,D112:I115)</f>
        <v>40442800</v>
      </c>
    </row>
    <row r="122" spans="3:13" x14ac:dyDescent="0.3">
      <c r="C122" s="1" t="s">
        <v>77</v>
      </c>
      <c r="D122" s="1">
        <f>F20*J107+F21*J116</f>
        <v>55300000</v>
      </c>
    </row>
    <row r="123" spans="3:13" x14ac:dyDescent="0.3">
      <c r="C123" s="1" t="s">
        <v>76</v>
      </c>
      <c r="D123" s="1">
        <f>K107*E20+K116*E21+K103*J20+K112*J21</f>
        <v>10900000</v>
      </c>
    </row>
    <row r="124" spans="3:13" x14ac:dyDescent="0.3">
      <c r="C124" s="10" t="s">
        <v>50</v>
      </c>
      <c r="D124" s="1">
        <f>D121+D122+D123</f>
        <v>106642800</v>
      </c>
    </row>
    <row r="127" spans="3:13" x14ac:dyDescent="0.3">
      <c r="C127" s="11" t="s">
        <v>112</v>
      </c>
      <c r="D127" s="11"/>
    </row>
    <row r="130" spans="3:13" x14ac:dyDescent="0.3">
      <c r="C130" s="4" t="s">
        <v>81</v>
      </c>
    </row>
    <row r="132" spans="3:13" x14ac:dyDescent="0.3">
      <c r="C132" s="1" t="s">
        <v>69</v>
      </c>
      <c r="D132" s="1" t="s">
        <v>63</v>
      </c>
      <c r="E132" s="1" t="s">
        <v>64</v>
      </c>
      <c r="F132" s="1" t="s">
        <v>65</v>
      </c>
      <c r="G132" s="1" t="s">
        <v>66</v>
      </c>
      <c r="H132" s="1" t="s">
        <v>67</v>
      </c>
      <c r="I132" s="1" t="s">
        <v>68</v>
      </c>
      <c r="J132" s="7" t="s">
        <v>82</v>
      </c>
      <c r="K132" s="1" t="s">
        <v>83</v>
      </c>
      <c r="L132" s="1" t="s">
        <v>84</v>
      </c>
      <c r="M132" s="1" t="s">
        <v>75</v>
      </c>
    </row>
    <row r="133" spans="3:13" x14ac:dyDescent="0.3">
      <c r="C133" s="1" t="s">
        <v>70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5">
        <v>0</v>
      </c>
      <c r="J133" s="5">
        <f>SUM(D133:I133)</f>
        <v>0</v>
      </c>
      <c r="K133" s="1">
        <v>0</v>
      </c>
      <c r="L133" s="1">
        <f>M133*K133-J133</f>
        <v>0</v>
      </c>
      <c r="M133" s="1">
        <v>5000000</v>
      </c>
    </row>
    <row r="134" spans="3:13" x14ac:dyDescent="0.3">
      <c r="C134" s="1" t="s">
        <v>71</v>
      </c>
      <c r="D134" s="1">
        <v>0</v>
      </c>
      <c r="E134" s="1">
        <v>0</v>
      </c>
      <c r="F134" s="1">
        <v>900000.00000000012</v>
      </c>
      <c r="G134" s="1">
        <v>0</v>
      </c>
      <c r="H134" s="1">
        <v>1000000</v>
      </c>
      <c r="I134" s="5">
        <v>0</v>
      </c>
      <c r="J134" s="5">
        <f>SUM(D134:I134)</f>
        <v>1900000</v>
      </c>
      <c r="K134" s="1">
        <v>1</v>
      </c>
      <c r="L134" s="1">
        <f t="shared" ref="L134:L136" si="23">M134*K134-J134</f>
        <v>100000</v>
      </c>
      <c r="M134" s="1">
        <v>2000000</v>
      </c>
    </row>
    <row r="135" spans="3:13" x14ac:dyDescent="0.3">
      <c r="C135" s="1" t="s">
        <v>72</v>
      </c>
      <c r="D135" s="1">
        <v>0</v>
      </c>
      <c r="E135" s="1">
        <v>0</v>
      </c>
      <c r="F135" s="1">
        <v>0</v>
      </c>
      <c r="G135" s="1">
        <v>800000</v>
      </c>
      <c r="H135" s="1">
        <v>0</v>
      </c>
      <c r="I135" s="5">
        <v>600000</v>
      </c>
      <c r="J135" s="5">
        <f>SUM(D135:I135)</f>
        <v>1400000</v>
      </c>
      <c r="K135" s="1">
        <v>1</v>
      </c>
      <c r="L135" s="1">
        <f t="shared" si="23"/>
        <v>600000</v>
      </c>
      <c r="M135" s="1">
        <v>2000000</v>
      </c>
    </row>
    <row r="136" spans="3:13" x14ac:dyDescent="0.3">
      <c r="C136" s="6" t="s">
        <v>73</v>
      </c>
      <c r="D136" s="6">
        <v>500000</v>
      </c>
      <c r="E136" s="6">
        <v>700000</v>
      </c>
      <c r="F136" s="6">
        <v>0</v>
      </c>
      <c r="G136" s="6">
        <v>0</v>
      </c>
      <c r="H136" s="6">
        <v>0</v>
      </c>
      <c r="I136" s="7">
        <v>0</v>
      </c>
      <c r="J136" s="7">
        <f>SUM(D136:I136)</f>
        <v>1200000</v>
      </c>
      <c r="K136" s="1">
        <v>1</v>
      </c>
      <c r="L136" s="1">
        <f t="shared" si="23"/>
        <v>800000</v>
      </c>
      <c r="M136" s="1">
        <v>2000000</v>
      </c>
    </row>
    <row r="137" spans="3:13" x14ac:dyDescent="0.3">
      <c r="C137" s="1" t="s">
        <v>85</v>
      </c>
      <c r="D137" s="1">
        <f t="shared" ref="D137:J137" si="24">SUM(D133:D136)</f>
        <v>500000</v>
      </c>
      <c r="E137" s="1">
        <f t="shared" si="24"/>
        <v>700000</v>
      </c>
      <c r="F137" s="1">
        <f t="shared" si="24"/>
        <v>900000.00000000012</v>
      </c>
      <c r="G137" s="1">
        <f t="shared" si="24"/>
        <v>800000</v>
      </c>
      <c r="H137" s="1">
        <f t="shared" si="24"/>
        <v>1000000</v>
      </c>
      <c r="I137" s="1">
        <f t="shared" si="24"/>
        <v>600000</v>
      </c>
      <c r="J137" s="1">
        <f t="shared" si="24"/>
        <v>4500000</v>
      </c>
      <c r="K137" s="1">
        <f>SUM(K134:K136)</f>
        <v>3</v>
      </c>
    </row>
    <row r="138" spans="3:13" x14ac:dyDescent="0.3">
      <c r="C138" s="1" t="s">
        <v>53</v>
      </c>
      <c r="D138" s="1">
        <v>500000</v>
      </c>
      <c r="E138" s="1">
        <v>700000</v>
      </c>
      <c r="F138" s="1">
        <v>900000</v>
      </c>
      <c r="G138" s="1">
        <v>800000</v>
      </c>
      <c r="H138" s="1">
        <v>1000000</v>
      </c>
      <c r="I138" s="1">
        <v>600000</v>
      </c>
    </row>
    <row r="140" spans="3:13" x14ac:dyDescent="0.3">
      <c r="C140" s="4" t="s">
        <v>86</v>
      </c>
    </row>
    <row r="141" spans="3:13" x14ac:dyDescent="0.3">
      <c r="C141" s="1" t="s">
        <v>69</v>
      </c>
      <c r="D141" s="1" t="s">
        <v>63</v>
      </c>
      <c r="E141" s="1" t="s">
        <v>64</v>
      </c>
      <c r="F141" s="1" t="s">
        <v>65</v>
      </c>
      <c r="G141" s="1" t="s">
        <v>66</v>
      </c>
      <c r="H141" s="1" t="s">
        <v>67</v>
      </c>
      <c r="I141" s="5" t="s">
        <v>68</v>
      </c>
      <c r="J141" s="5" t="s">
        <v>82</v>
      </c>
      <c r="K141" s="1" t="s">
        <v>83</v>
      </c>
      <c r="L141" s="1" t="s">
        <v>84</v>
      </c>
      <c r="M141" s="1" t="s">
        <v>75</v>
      </c>
    </row>
    <row r="142" spans="3:13" x14ac:dyDescent="0.3">
      <c r="C142" s="1" t="s">
        <v>70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5">
        <v>0</v>
      </c>
      <c r="J142" s="5">
        <f>SUM(D142:I142)</f>
        <v>0</v>
      </c>
      <c r="K142" s="1">
        <v>0</v>
      </c>
      <c r="L142" s="1">
        <f>M142*K142-J142</f>
        <v>0</v>
      </c>
      <c r="M142" s="1">
        <v>1000000</v>
      </c>
    </row>
    <row r="143" spans="3:13" x14ac:dyDescent="0.3">
      <c r="C143" s="1" t="s">
        <v>71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5">
        <v>0</v>
      </c>
      <c r="J143" s="5">
        <f>SUM(D143:I143)</f>
        <v>0</v>
      </c>
      <c r="K143" s="1">
        <v>0</v>
      </c>
      <c r="L143" s="1">
        <f t="shared" ref="L143:L145" si="25">M143*K143-J143</f>
        <v>0</v>
      </c>
      <c r="M143" s="1">
        <v>1000000</v>
      </c>
    </row>
    <row r="144" spans="3:13" x14ac:dyDescent="0.3">
      <c r="C144" s="1" t="s">
        <v>72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5">
        <v>0</v>
      </c>
      <c r="J144" s="5">
        <f>SUM(D144:I144)</f>
        <v>0</v>
      </c>
      <c r="K144" s="1">
        <v>0</v>
      </c>
      <c r="L144" s="1">
        <f t="shared" si="25"/>
        <v>0</v>
      </c>
      <c r="M144" s="1">
        <v>1000000</v>
      </c>
    </row>
    <row r="145" spans="3:13" x14ac:dyDescent="0.3">
      <c r="C145" s="6" t="s">
        <v>73</v>
      </c>
      <c r="D145" s="6">
        <v>50000</v>
      </c>
      <c r="E145" s="6">
        <v>90000</v>
      </c>
      <c r="F145" s="6">
        <v>120000</v>
      </c>
      <c r="G145" s="6">
        <v>65000</v>
      </c>
      <c r="H145" s="6">
        <v>120000</v>
      </c>
      <c r="I145" s="7">
        <v>70000</v>
      </c>
      <c r="J145" s="7">
        <f>SUM(D145:I145)</f>
        <v>515000</v>
      </c>
      <c r="K145" s="1">
        <v>1</v>
      </c>
      <c r="L145" s="1">
        <f t="shared" si="25"/>
        <v>485000</v>
      </c>
      <c r="M145" s="1">
        <v>1000000</v>
      </c>
    </row>
    <row r="146" spans="3:13" x14ac:dyDescent="0.3">
      <c r="C146" s="1" t="s">
        <v>85</v>
      </c>
      <c r="D146" s="1">
        <f t="shared" ref="D146:J146" si="26">SUM(D142:D145)</f>
        <v>50000</v>
      </c>
      <c r="E146" s="1">
        <f t="shared" si="26"/>
        <v>90000</v>
      </c>
      <c r="F146" s="1">
        <f t="shared" si="26"/>
        <v>120000</v>
      </c>
      <c r="G146" s="1">
        <f t="shared" si="26"/>
        <v>65000</v>
      </c>
      <c r="H146" s="1">
        <f t="shared" si="26"/>
        <v>120000</v>
      </c>
      <c r="I146" s="1">
        <f t="shared" si="26"/>
        <v>70000</v>
      </c>
      <c r="J146" s="1">
        <f t="shared" si="26"/>
        <v>515000</v>
      </c>
      <c r="K146" s="1">
        <f>SUM(K143:K145)</f>
        <v>1</v>
      </c>
    </row>
    <row r="147" spans="3:13" x14ac:dyDescent="0.3">
      <c r="C147" s="1" t="s">
        <v>53</v>
      </c>
      <c r="D147" s="1">
        <v>50000</v>
      </c>
      <c r="E147" s="1">
        <v>90000</v>
      </c>
      <c r="F147" s="1">
        <v>120000</v>
      </c>
      <c r="G147" s="1">
        <v>65000</v>
      </c>
      <c r="H147" s="1">
        <v>120000</v>
      </c>
      <c r="I147" s="1">
        <v>70000</v>
      </c>
    </row>
    <row r="151" spans="3:13" x14ac:dyDescent="0.3">
      <c r="C151" s="1" t="s">
        <v>87</v>
      </c>
      <c r="D151" s="1">
        <f>SUMPRODUCT(D13:I16,D133:I136) + SUMPRODUCT(D13:I16,D142:I145)</f>
        <v>22054800</v>
      </c>
    </row>
    <row r="152" spans="3:13" x14ac:dyDescent="0.3">
      <c r="C152" s="1" t="s">
        <v>77</v>
      </c>
      <c r="D152" s="1">
        <f>F20*J137+F21*J146</f>
        <v>55300000</v>
      </c>
    </row>
    <row r="153" spans="3:13" x14ac:dyDescent="0.3">
      <c r="C153" s="1" t="s">
        <v>76</v>
      </c>
      <c r="D153" s="1">
        <f>K137*E20+K146*E21+K133*J20+K142*J21</f>
        <v>8100000</v>
      </c>
    </row>
    <row r="154" spans="3:13" x14ac:dyDescent="0.3">
      <c r="C154" s="10" t="s">
        <v>50</v>
      </c>
      <c r="D154" s="1">
        <f>D151+D152+D153</f>
        <v>85454800</v>
      </c>
    </row>
    <row r="156" spans="3:13" x14ac:dyDescent="0.3">
      <c r="C156" s="11" t="s">
        <v>113</v>
      </c>
      <c r="D156" s="11"/>
    </row>
    <row r="158" spans="3:13" x14ac:dyDescent="0.3">
      <c r="C158" s="1" t="s">
        <v>69</v>
      </c>
      <c r="D158" s="1" t="s">
        <v>63</v>
      </c>
      <c r="E158" s="1" t="s">
        <v>64</v>
      </c>
      <c r="F158" s="1" t="s">
        <v>65</v>
      </c>
      <c r="G158" s="1" t="s">
        <v>66</v>
      </c>
      <c r="H158" s="1" t="s">
        <v>67</v>
      </c>
      <c r="I158" s="1" t="s">
        <v>68</v>
      </c>
    </row>
    <row r="159" spans="3:13" x14ac:dyDescent="0.3">
      <c r="C159" s="1" t="s">
        <v>70</v>
      </c>
      <c r="D159" s="1">
        <f>D13/2</f>
        <v>3.16</v>
      </c>
      <c r="E159" s="1">
        <f t="shared" ref="E159:I159" si="27">E13/2</f>
        <v>3.16</v>
      </c>
      <c r="F159" s="1">
        <f t="shared" si="27"/>
        <v>1.84</v>
      </c>
      <c r="G159" s="1">
        <f t="shared" si="27"/>
        <v>2.02</v>
      </c>
      <c r="H159" s="1">
        <f t="shared" si="27"/>
        <v>2.88</v>
      </c>
      <c r="I159" s="1">
        <f t="shared" si="27"/>
        <v>2.98</v>
      </c>
    </row>
    <row r="160" spans="3:13" x14ac:dyDescent="0.3">
      <c r="C160" s="1" t="s">
        <v>71</v>
      </c>
      <c r="D160" s="1">
        <f t="shared" ref="D160:I160" si="28">D14/2</f>
        <v>3.3</v>
      </c>
      <c r="E160" s="1">
        <f t="shared" si="28"/>
        <v>3.3</v>
      </c>
      <c r="F160" s="1">
        <f t="shared" si="28"/>
        <v>2.88</v>
      </c>
      <c r="G160" s="1">
        <f t="shared" si="28"/>
        <v>2.96</v>
      </c>
      <c r="H160" s="1">
        <f t="shared" si="28"/>
        <v>1.84</v>
      </c>
      <c r="I160" s="1">
        <f t="shared" si="28"/>
        <v>2.04</v>
      </c>
    </row>
    <row r="161" spans="3:13" x14ac:dyDescent="0.3">
      <c r="C161" s="1" t="s">
        <v>72</v>
      </c>
      <c r="D161" s="1">
        <f t="shared" ref="D161:I161" si="29">D15/2</f>
        <v>3.36</v>
      </c>
      <c r="E161" s="1">
        <f t="shared" si="29"/>
        <v>3.24</v>
      </c>
      <c r="F161" s="1">
        <f t="shared" si="29"/>
        <v>2.96</v>
      </c>
      <c r="G161" s="1">
        <f t="shared" si="29"/>
        <v>2.04</v>
      </c>
      <c r="H161" s="1">
        <f t="shared" si="29"/>
        <v>2.02</v>
      </c>
      <c r="I161" s="1">
        <f t="shared" si="29"/>
        <v>1.82</v>
      </c>
    </row>
    <row r="162" spans="3:13" x14ac:dyDescent="0.3">
      <c r="C162" s="1" t="s">
        <v>73</v>
      </c>
      <c r="D162" s="1">
        <f t="shared" ref="D162:I162" si="30">D16/2</f>
        <v>2.1800000000000002</v>
      </c>
      <c r="E162" s="1">
        <f t="shared" si="30"/>
        <v>1.84</v>
      </c>
      <c r="F162" s="1">
        <f t="shared" si="30"/>
        <v>3.16</v>
      </c>
      <c r="G162" s="1">
        <f t="shared" si="30"/>
        <v>3.16</v>
      </c>
      <c r="H162" s="1">
        <f t="shared" si="30"/>
        <v>3.36</v>
      </c>
      <c r="I162" s="1">
        <f t="shared" si="30"/>
        <v>3.3</v>
      </c>
    </row>
    <row r="166" spans="3:13" x14ac:dyDescent="0.3">
      <c r="C166" s="4" t="s">
        <v>81</v>
      </c>
    </row>
    <row r="168" spans="3:13" x14ac:dyDescent="0.3">
      <c r="C168" s="1" t="s">
        <v>69</v>
      </c>
      <c r="D168" s="1" t="s">
        <v>63</v>
      </c>
      <c r="E168" s="1" t="s">
        <v>64</v>
      </c>
      <c r="F168" s="1" t="s">
        <v>65</v>
      </c>
      <c r="G168" s="1" t="s">
        <v>66</v>
      </c>
      <c r="H168" s="1" t="s">
        <v>67</v>
      </c>
      <c r="I168" s="1" t="s">
        <v>68</v>
      </c>
      <c r="J168" s="7" t="s">
        <v>82</v>
      </c>
      <c r="K168" s="1" t="s">
        <v>83</v>
      </c>
      <c r="L168" s="1" t="s">
        <v>84</v>
      </c>
      <c r="M168" s="1" t="s">
        <v>75</v>
      </c>
    </row>
    <row r="169" spans="3:13" x14ac:dyDescent="0.3">
      <c r="C169" s="1" t="s">
        <v>70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5">
        <v>0</v>
      </c>
      <c r="J169" s="5">
        <f>SUM(D169:I169)</f>
        <v>0</v>
      </c>
      <c r="K169" s="1">
        <v>0</v>
      </c>
      <c r="L169" s="1">
        <f>M169*K169-J169</f>
        <v>0</v>
      </c>
      <c r="M169" s="1">
        <v>5000000</v>
      </c>
    </row>
    <row r="170" spans="3:13" x14ac:dyDescent="0.3">
      <c r="C170" s="1" t="s">
        <v>71</v>
      </c>
      <c r="D170" s="1">
        <v>0</v>
      </c>
      <c r="E170" s="1">
        <v>0</v>
      </c>
      <c r="F170" s="1">
        <v>900000.00000000012</v>
      </c>
      <c r="G170" s="1">
        <v>0</v>
      </c>
      <c r="H170" s="1">
        <v>1000000</v>
      </c>
      <c r="I170" s="5">
        <v>0</v>
      </c>
      <c r="J170" s="5">
        <f>SUM(D170:I170)</f>
        <v>1900000</v>
      </c>
      <c r="K170" s="1">
        <v>1</v>
      </c>
      <c r="L170" s="1">
        <f t="shared" ref="L170:L172" si="31">M170*K170-J170</f>
        <v>100000</v>
      </c>
      <c r="M170" s="1">
        <v>2000000</v>
      </c>
    </row>
    <row r="171" spans="3:13" x14ac:dyDescent="0.3">
      <c r="C171" s="1" t="s">
        <v>72</v>
      </c>
      <c r="D171" s="1">
        <v>0</v>
      </c>
      <c r="E171" s="1">
        <v>0</v>
      </c>
      <c r="F171" s="1">
        <v>0</v>
      </c>
      <c r="G171" s="1">
        <v>800000</v>
      </c>
      <c r="H171" s="1">
        <v>0</v>
      </c>
      <c r="I171" s="5">
        <v>600000</v>
      </c>
      <c r="J171" s="5">
        <f>SUM(D171:I171)</f>
        <v>1400000</v>
      </c>
      <c r="K171" s="1">
        <v>1</v>
      </c>
      <c r="L171" s="1">
        <f t="shared" si="31"/>
        <v>600000</v>
      </c>
      <c r="M171" s="1">
        <v>2000000</v>
      </c>
    </row>
    <row r="172" spans="3:13" x14ac:dyDescent="0.3">
      <c r="C172" s="6" t="s">
        <v>73</v>
      </c>
      <c r="D172" s="6">
        <v>500000</v>
      </c>
      <c r="E172" s="6">
        <v>700000</v>
      </c>
      <c r="F172" s="6">
        <v>0</v>
      </c>
      <c r="G172" s="6">
        <v>0</v>
      </c>
      <c r="H172" s="6">
        <v>0</v>
      </c>
      <c r="I172" s="7">
        <v>0</v>
      </c>
      <c r="J172" s="7">
        <f>SUM(D172:I172)</f>
        <v>1200000</v>
      </c>
      <c r="K172" s="1">
        <v>1</v>
      </c>
      <c r="L172" s="1">
        <f t="shared" si="31"/>
        <v>800000</v>
      </c>
      <c r="M172" s="1">
        <v>2000000</v>
      </c>
    </row>
    <row r="173" spans="3:13" x14ac:dyDescent="0.3">
      <c r="C173" s="1" t="s">
        <v>85</v>
      </c>
      <c r="D173" s="1">
        <f t="shared" ref="D173:J173" si="32">SUM(D169:D172)</f>
        <v>500000</v>
      </c>
      <c r="E173" s="1">
        <f t="shared" si="32"/>
        <v>700000</v>
      </c>
      <c r="F173" s="1">
        <f t="shared" si="32"/>
        <v>900000.00000000012</v>
      </c>
      <c r="G173" s="1">
        <f t="shared" si="32"/>
        <v>800000</v>
      </c>
      <c r="H173" s="1">
        <f t="shared" si="32"/>
        <v>1000000</v>
      </c>
      <c r="I173" s="1">
        <f t="shared" si="32"/>
        <v>600000</v>
      </c>
      <c r="J173" s="1">
        <f t="shared" si="32"/>
        <v>4500000</v>
      </c>
      <c r="K173" s="1">
        <f>SUM(K170:K172)</f>
        <v>3</v>
      </c>
    </row>
    <row r="174" spans="3:13" x14ac:dyDescent="0.3">
      <c r="C174" s="1" t="s">
        <v>53</v>
      </c>
      <c r="D174" s="1">
        <v>500000</v>
      </c>
      <c r="E174" s="1">
        <v>700000</v>
      </c>
      <c r="F174" s="1">
        <v>900000</v>
      </c>
      <c r="G174" s="1">
        <v>800000</v>
      </c>
      <c r="H174" s="1">
        <v>1000000</v>
      </c>
      <c r="I174" s="1">
        <v>600000</v>
      </c>
    </row>
    <row r="176" spans="3:13" x14ac:dyDescent="0.3">
      <c r="C176" s="4" t="s">
        <v>86</v>
      </c>
    </row>
    <row r="177" spans="3:13" x14ac:dyDescent="0.3">
      <c r="C177" s="1" t="s">
        <v>69</v>
      </c>
      <c r="D177" s="1" t="s">
        <v>63</v>
      </c>
      <c r="E177" s="1" t="s">
        <v>64</v>
      </c>
      <c r="F177" s="1" t="s">
        <v>65</v>
      </c>
      <c r="G177" s="1" t="s">
        <v>66</v>
      </c>
      <c r="H177" s="1" t="s">
        <v>67</v>
      </c>
      <c r="I177" s="5" t="s">
        <v>68</v>
      </c>
      <c r="J177" s="5" t="s">
        <v>82</v>
      </c>
      <c r="K177" s="1" t="s">
        <v>83</v>
      </c>
      <c r="L177" s="1" t="s">
        <v>84</v>
      </c>
      <c r="M177" s="1" t="s">
        <v>75</v>
      </c>
    </row>
    <row r="178" spans="3:13" x14ac:dyDescent="0.3">
      <c r="C178" s="1" t="s">
        <v>70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5">
        <v>0</v>
      </c>
      <c r="J178" s="5">
        <f>SUM(D178:I178)</f>
        <v>0</v>
      </c>
      <c r="K178" s="1">
        <v>0</v>
      </c>
      <c r="L178" s="1">
        <f>M178*K178-J178</f>
        <v>0</v>
      </c>
      <c r="M178" s="1">
        <v>1000000</v>
      </c>
    </row>
    <row r="179" spans="3:13" x14ac:dyDescent="0.3">
      <c r="C179" s="1" t="s">
        <v>71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5">
        <v>0</v>
      </c>
      <c r="J179" s="5">
        <f>SUM(D179:I179)</f>
        <v>0</v>
      </c>
      <c r="K179" s="1">
        <v>0</v>
      </c>
      <c r="L179" s="1">
        <f t="shared" ref="L179:L181" si="33">M179*K179-J179</f>
        <v>0</v>
      </c>
      <c r="M179" s="1">
        <v>1000000</v>
      </c>
    </row>
    <row r="180" spans="3:13" x14ac:dyDescent="0.3">
      <c r="C180" s="1" t="s">
        <v>72</v>
      </c>
      <c r="D180" s="1">
        <v>50000</v>
      </c>
      <c r="E180" s="1">
        <v>90000</v>
      </c>
      <c r="F180" s="1">
        <v>120000</v>
      </c>
      <c r="G180" s="1">
        <v>65000</v>
      </c>
      <c r="H180" s="1">
        <v>120000</v>
      </c>
      <c r="I180" s="5">
        <v>70000</v>
      </c>
      <c r="J180" s="5">
        <f>SUM(D180:I180)</f>
        <v>515000</v>
      </c>
      <c r="K180" s="1">
        <v>1</v>
      </c>
      <c r="L180" s="1">
        <f t="shared" si="33"/>
        <v>485000</v>
      </c>
      <c r="M180" s="1">
        <v>1000000</v>
      </c>
    </row>
    <row r="181" spans="3:13" x14ac:dyDescent="0.3">
      <c r="C181" s="6" t="s">
        <v>73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7">
        <v>0</v>
      </c>
      <c r="J181" s="7">
        <f>SUM(D181:I181)</f>
        <v>0</v>
      </c>
      <c r="K181" s="1">
        <v>0</v>
      </c>
      <c r="L181" s="1">
        <f t="shared" si="33"/>
        <v>0</v>
      </c>
      <c r="M181" s="1">
        <v>1000000</v>
      </c>
    </row>
    <row r="182" spans="3:13" x14ac:dyDescent="0.3">
      <c r="C182" s="1" t="s">
        <v>85</v>
      </c>
      <c r="D182" s="1">
        <f t="shared" ref="D182:J182" si="34">SUM(D178:D181)</f>
        <v>50000</v>
      </c>
      <c r="E182" s="1">
        <f t="shared" si="34"/>
        <v>90000</v>
      </c>
      <c r="F182" s="1">
        <f t="shared" si="34"/>
        <v>120000</v>
      </c>
      <c r="G182" s="1">
        <f t="shared" si="34"/>
        <v>65000</v>
      </c>
      <c r="H182" s="1">
        <f t="shared" si="34"/>
        <v>120000</v>
      </c>
      <c r="I182" s="1">
        <f t="shared" si="34"/>
        <v>70000</v>
      </c>
      <c r="J182" s="1">
        <f t="shared" si="34"/>
        <v>515000</v>
      </c>
      <c r="K182" s="1">
        <f>SUM(K179:K181)</f>
        <v>1</v>
      </c>
    </row>
    <row r="183" spans="3:13" x14ac:dyDescent="0.3">
      <c r="C183" s="1" t="s">
        <v>53</v>
      </c>
      <c r="D183" s="1">
        <v>50000</v>
      </c>
      <c r="E183" s="1">
        <v>90000</v>
      </c>
      <c r="F183" s="1">
        <v>120000</v>
      </c>
      <c r="G183" s="1">
        <v>65000</v>
      </c>
      <c r="H183" s="1">
        <v>120000</v>
      </c>
      <c r="I183" s="1">
        <v>70000</v>
      </c>
    </row>
    <row r="187" spans="3:13" x14ac:dyDescent="0.3">
      <c r="C187" s="1" t="s">
        <v>87</v>
      </c>
      <c r="D187" s="1">
        <f>SUMPRODUCT(D159:I162,D169:I172) + SUMPRODUCT(D159:I162,D178:I181)</f>
        <v>10851200</v>
      </c>
    </row>
    <row r="188" spans="3:13" x14ac:dyDescent="0.3">
      <c r="C188" s="1" t="s">
        <v>77</v>
      </c>
      <c r="D188" s="1">
        <f>F20*J173+F21*J182</f>
        <v>55300000</v>
      </c>
    </row>
    <row r="189" spans="3:13" x14ac:dyDescent="0.3">
      <c r="C189" s="1" t="s">
        <v>76</v>
      </c>
      <c r="D189" s="1">
        <f>K173*E20+K182*E21+K169*J20+K178*J21</f>
        <v>8100000</v>
      </c>
    </row>
    <row r="190" spans="3:13" x14ac:dyDescent="0.3">
      <c r="C190" s="10" t="s">
        <v>50</v>
      </c>
      <c r="D190" s="1">
        <f>D187+D188+D189</f>
        <v>74251200</v>
      </c>
    </row>
    <row r="193" spans="3:13" x14ac:dyDescent="0.3">
      <c r="C193" s="11" t="s">
        <v>114</v>
      </c>
      <c r="D193" s="11"/>
    </row>
    <row r="196" spans="3:13" x14ac:dyDescent="0.3">
      <c r="C196" s="1" t="s">
        <v>69</v>
      </c>
      <c r="D196" s="1" t="s">
        <v>63</v>
      </c>
      <c r="E196" s="1" t="s">
        <v>64</v>
      </c>
      <c r="F196" s="1" t="s">
        <v>65</v>
      </c>
      <c r="G196" s="1" t="s">
        <v>66</v>
      </c>
      <c r="H196" s="1" t="s">
        <v>67</v>
      </c>
      <c r="I196" s="1" t="s">
        <v>68</v>
      </c>
    </row>
    <row r="197" spans="3:13" x14ac:dyDescent="0.3">
      <c r="C197" s="1" t="s">
        <v>70</v>
      </c>
      <c r="D197" s="1">
        <f>D13*2</f>
        <v>12.64</v>
      </c>
      <c r="E197" s="1">
        <f t="shared" ref="E197:I197" si="35">E13*2</f>
        <v>12.64</v>
      </c>
      <c r="F197" s="1">
        <f t="shared" si="35"/>
        <v>7.36</v>
      </c>
      <c r="G197" s="1">
        <f t="shared" si="35"/>
        <v>8.08</v>
      </c>
      <c r="H197" s="1">
        <f t="shared" si="35"/>
        <v>11.52</v>
      </c>
      <c r="I197" s="1">
        <f t="shared" si="35"/>
        <v>11.92</v>
      </c>
    </row>
    <row r="198" spans="3:13" x14ac:dyDescent="0.3">
      <c r="C198" s="1" t="s">
        <v>71</v>
      </c>
      <c r="D198" s="1">
        <f t="shared" ref="D198:I198" si="36">D14*2</f>
        <v>13.2</v>
      </c>
      <c r="E198" s="1">
        <f t="shared" si="36"/>
        <v>13.2</v>
      </c>
      <c r="F198" s="1">
        <f t="shared" si="36"/>
        <v>11.52</v>
      </c>
      <c r="G198" s="1">
        <f t="shared" si="36"/>
        <v>11.84</v>
      </c>
      <c r="H198" s="1">
        <f t="shared" si="36"/>
        <v>7.36</v>
      </c>
      <c r="I198" s="1">
        <f t="shared" si="36"/>
        <v>8.16</v>
      </c>
    </row>
    <row r="199" spans="3:13" x14ac:dyDescent="0.3">
      <c r="C199" s="1" t="s">
        <v>72</v>
      </c>
      <c r="D199" s="1">
        <f t="shared" ref="D199:I199" si="37">D15*2</f>
        <v>13.44</v>
      </c>
      <c r="E199" s="1">
        <f t="shared" si="37"/>
        <v>12.96</v>
      </c>
      <c r="F199" s="1">
        <f t="shared" si="37"/>
        <v>11.84</v>
      </c>
      <c r="G199" s="1">
        <f t="shared" si="37"/>
        <v>8.16</v>
      </c>
      <c r="H199" s="1">
        <f t="shared" si="37"/>
        <v>8.08</v>
      </c>
      <c r="I199" s="1">
        <f t="shared" si="37"/>
        <v>7.28</v>
      </c>
    </row>
    <row r="200" spans="3:13" x14ac:dyDescent="0.3">
      <c r="C200" s="1" t="s">
        <v>73</v>
      </c>
      <c r="D200" s="1">
        <f t="shared" ref="D200:I200" si="38">D16*2</f>
        <v>8.7200000000000006</v>
      </c>
      <c r="E200" s="1">
        <f t="shared" si="38"/>
        <v>7.36</v>
      </c>
      <c r="F200" s="1">
        <f t="shared" si="38"/>
        <v>12.64</v>
      </c>
      <c r="G200" s="1">
        <f t="shared" si="38"/>
        <v>12.64</v>
      </c>
      <c r="H200" s="1">
        <f t="shared" si="38"/>
        <v>13.44</v>
      </c>
      <c r="I200" s="1">
        <f t="shared" si="38"/>
        <v>13.2</v>
      </c>
    </row>
    <row r="204" spans="3:13" x14ac:dyDescent="0.3">
      <c r="C204" s="4" t="s">
        <v>81</v>
      </c>
    </row>
    <row r="206" spans="3:13" x14ac:dyDescent="0.3">
      <c r="C206" s="1" t="s">
        <v>69</v>
      </c>
      <c r="D206" s="1" t="s">
        <v>63</v>
      </c>
      <c r="E206" s="1" t="s">
        <v>64</v>
      </c>
      <c r="F206" s="1" t="s">
        <v>65</v>
      </c>
      <c r="G206" s="1" t="s">
        <v>66</v>
      </c>
      <c r="H206" s="1" t="s">
        <v>67</v>
      </c>
      <c r="I206" s="1" t="s">
        <v>68</v>
      </c>
      <c r="J206" s="7" t="s">
        <v>82</v>
      </c>
      <c r="K206" s="1" t="s">
        <v>83</v>
      </c>
      <c r="L206" s="1" t="s">
        <v>84</v>
      </c>
      <c r="M206" s="1" t="s">
        <v>75</v>
      </c>
    </row>
    <row r="207" spans="3:13" x14ac:dyDescent="0.3">
      <c r="C207" s="1" t="s">
        <v>70</v>
      </c>
      <c r="D207" s="1">
        <v>0</v>
      </c>
      <c r="E207" s="1">
        <v>0</v>
      </c>
      <c r="F207" s="1">
        <v>900000</v>
      </c>
      <c r="G207" s="1">
        <v>800000</v>
      </c>
      <c r="H207" s="1">
        <v>0</v>
      </c>
      <c r="I207" s="5">
        <v>0</v>
      </c>
      <c r="J207" s="5">
        <f>SUM(D207:I207)</f>
        <v>1700000</v>
      </c>
      <c r="K207" s="1">
        <v>1</v>
      </c>
      <c r="L207" s="1">
        <f>M207*K207-J207</f>
        <v>3300000</v>
      </c>
      <c r="M207" s="1">
        <v>5000000</v>
      </c>
    </row>
    <row r="208" spans="3:13" x14ac:dyDescent="0.3">
      <c r="C208" s="1" t="s">
        <v>71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5">
        <v>0</v>
      </c>
      <c r="J208" s="5">
        <f>SUM(D208:I208)</f>
        <v>0</v>
      </c>
      <c r="K208" s="1">
        <v>0</v>
      </c>
      <c r="L208" s="1">
        <f t="shared" ref="L208:L210" si="39">M208*K208-J208</f>
        <v>0</v>
      </c>
      <c r="M208" s="1">
        <v>2000000</v>
      </c>
    </row>
    <row r="209" spans="3:13" x14ac:dyDescent="0.3">
      <c r="C209" s="1" t="s">
        <v>72</v>
      </c>
      <c r="D209" s="1">
        <v>0</v>
      </c>
      <c r="E209" s="1">
        <v>0</v>
      </c>
      <c r="F209" s="1">
        <v>0</v>
      </c>
      <c r="G209" s="1">
        <v>0</v>
      </c>
      <c r="H209" s="1">
        <v>1000000</v>
      </c>
      <c r="I209" s="5">
        <v>600000</v>
      </c>
      <c r="J209" s="5">
        <f>SUM(D209:I209)</f>
        <v>1600000</v>
      </c>
      <c r="K209" s="1">
        <v>1</v>
      </c>
      <c r="L209" s="1">
        <f t="shared" si="39"/>
        <v>400000</v>
      </c>
      <c r="M209" s="1">
        <v>2000000</v>
      </c>
    </row>
    <row r="210" spans="3:13" x14ac:dyDescent="0.3">
      <c r="C210" s="6" t="s">
        <v>73</v>
      </c>
      <c r="D210" s="6">
        <v>500000</v>
      </c>
      <c r="E210" s="6">
        <v>700000</v>
      </c>
      <c r="F210" s="6">
        <v>0</v>
      </c>
      <c r="G210" s="6">
        <v>0</v>
      </c>
      <c r="H210" s="6">
        <v>0</v>
      </c>
      <c r="I210" s="7">
        <v>0</v>
      </c>
      <c r="J210" s="7">
        <f>SUM(D210:I210)</f>
        <v>1200000</v>
      </c>
      <c r="K210" s="1">
        <v>1</v>
      </c>
      <c r="L210" s="1">
        <f t="shared" si="39"/>
        <v>800000</v>
      </c>
      <c r="M210" s="1">
        <v>2000000</v>
      </c>
    </row>
    <row r="211" spans="3:13" x14ac:dyDescent="0.3">
      <c r="C211" s="1" t="s">
        <v>85</v>
      </c>
      <c r="D211" s="1">
        <f t="shared" ref="D211:J211" si="40">SUM(D207:D210)</f>
        <v>500000</v>
      </c>
      <c r="E211" s="1">
        <f t="shared" si="40"/>
        <v>700000</v>
      </c>
      <c r="F211" s="1">
        <f t="shared" si="40"/>
        <v>900000</v>
      </c>
      <c r="G211" s="1">
        <f t="shared" si="40"/>
        <v>800000</v>
      </c>
      <c r="H211" s="1">
        <f t="shared" si="40"/>
        <v>1000000</v>
      </c>
      <c r="I211" s="1">
        <f t="shared" si="40"/>
        <v>600000</v>
      </c>
      <c r="J211" s="1">
        <f t="shared" si="40"/>
        <v>4500000</v>
      </c>
      <c r="K211" s="1">
        <f>SUM(K208:K210)</f>
        <v>2</v>
      </c>
    </row>
    <row r="212" spans="3:13" x14ac:dyDescent="0.3">
      <c r="C212" s="1" t="s">
        <v>53</v>
      </c>
      <c r="D212" s="1">
        <v>500000</v>
      </c>
      <c r="E212" s="1">
        <v>700000</v>
      </c>
      <c r="F212" s="1">
        <v>900000</v>
      </c>
      <c r="G212" s="1">
        <v>800000</v>
      </c>
      <c r="H212" s="1">
        <v>1000000</v>
      </c>
      <c r="I212" s="1">
        <v>600000</v>
      </c>
    </row>
    <row r="214" spans="3:13" x14ac:dyDescent="0.3">
      <c r="C214" s="4" t="s">
        <v>86</v>
      </c>
    </row>
    <row r="215" spans="3:13" x14ac:dyDescent="0.3">
      <c r="C215" s="1" t="s">
        <v>69</v>
      </c>
      <c r="D215" s="1" t="s">
        <v>63</v>
      </c>
      <c r="E215" s="1" t="s">
        <v>64</v>
      </c>
      <c r="F215" s="1" t="s">
        <v>65</v>
      </c>
      <c r="G215" s="1" t="s">
        <v>66</v>
      </c>
      <c r="H215" s="1" t="s">
        <v>67</v>
      </c>
      <c r="I215" s="5" t="s">
        <v>68</v>
      </c>
      <c r="J215" s="5" t="s">
        <v>82</v>
      </c>
      <c r="K215" s="1" t="s">
        <v>83</v>
      </c>
      <c r="L215" s="1" t="s">
        <v>84</v>
      </c>
      <c r="M215" s="1" t="s">
        <v>75</v>
      </c>
    </row>
    <row r="216" spans="3:13" x14ac:dyDescent="0.3">
      <c r="C216" s="1" t="s">
        <v>70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5">
        <v>0</v>
      </c>
      <c r="J216" s="5">
        <f>SUM(D216:I216)</f>
        <v>0</v>
      </c>
      <c r="K216" s="1">
        <v>0</v>
      </c>
      <c r="L216" s="1">
        <f>M216*K216-J216</f>
        <v>0</v>
      </c>
      <c r="M216" s="1">
        <v>1000000</v>
      </c>
    </row>
    <row r="217" spans="3:13" x14ac:dyDescent="0.3">
      <c r="C217" s="1" t="s">
        <v>71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5">
        <v>0</v>
      </c>
      <c r="J217" s="5">
        <f>SUM(D217:I217)</f>
        <v>0</v>
      </c>
      <c r="K217" s="1">
        <v>0</v>
      </c>
      <c r="L217" s="1">
        <f t="shared" ref="L217:L219" si="41">M217*K217-J217</f>
        <v>0</v>
      </c>
      <c r="M217" s="1">
        <v>1000000</v>
      </c>
    </row>
    <row r="218" spans="3:13" x14ac:dyDescent="0.3">
      <c r="C218" s="1" t="s">
        <v>72</v>
      </c>
      <c r="D218" s="1">
        <v>50000</v>
      </c>
      <c r="E218" s="1">
        <v>90000</v>
      </c>
      <c r="F218" s="1">
        <v>120000</v>
      </c>
      <c r="G218" s="1">
        <v>65000</v>
      </c>
      <c r="H218" s="1">
        <v>120000</v>
      </c>
      <c r="I218" s="5">
        <v>70000</v>
      </c>
      <c r="J218" s="5">
        <f>SUM(D218:I218)</f>
        <v>515000</v>
      </c>
      <c r="K218" s="1">
        <v>1</v>
      </c>
      <c r="L218" s="1">
        <f t="shared" si="41"/>
        <v>485000</v>
      </c>
      <c r="M218" s="1">
        <v>1000000</v>
      </c>
    </row>
    <row r="219" spans="3:13" x14ac:dyDescent="0.3">
      <c r="C219" s="6" t="s">
        <v>73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7">
        <v>0</v>
      </c>
      <c r="J219" s="7">
        <f>SUM(D219:I219)</f>
        <v>0</v>
      </c>
      <c r="K219" s="1">
        <v>0</v>
      </c>
      <c r="L219" s="1">
        <f t="shared" si="41"/>
        <v>0</v>
      </c>
      <c r="M219" s="1">
        <v>1000000</v>
      </c>
    </row>
    <row r="220" spans="3:13" x14ac:dyDescent="0.3">
      <c r="C220" s="1" t="s">
        <v>85</v>
      </c>
      <c r="D220" s="1">
        <f t="shared" ref="D220:J220" si="42">SUM(D216:D219)</f>
        <v>50000</v>
      </c>
      <c r="E220" s="1">
        <f t="shared" si="42"/>
        <v>90000</v>
      </c>
      <c r="F220" s="1">
        <f t="shared" si="42"/>
        <v>120000</v>
      </c>
      <c r="G220" s="1">
        <f t="shared" si="42"/>
        <v>65000</v>
      </c>
      <c r="H220" s="1">
        <f t="shared" si="42"/>
        <v>120000</v>
      </c>
      <c r="I220" s="1">
        <f t="shared" si="42"/>
        <v>70000</v>
      </c>
      <c r="J220" s="1">
        <f t="shared" si="42"/>
        <v>515000</v>
      </c>
      <c r="K220" s="1">
        <f>SUM(K217:K219)</f>
        <v>1</v>
      </c>
    </row>
    <row r="221" spans="3:13" x14ac:dyDescent="0.3">
      <c r="C221" s="1" t="s">
        <v>53</v>
      </c>
      <c r="D221" s="1">
        <v>50000</v>
      </c>
      <c r="E221" s="1">
        <v>90000</v>
      </c>
      <c r="F221" s="1">
        <v>120000</v>
      </c>
      <c r="G221" s="1">
        <v>65000</v>
      </c>
      <c r="H221" s="1">
        <v>120000</v>
      </c>
      <c r="I221" s="1">
        <v>70000</v>
      </c>
    </row>
    <row r="225" spans="3:4" x14ac:dyDescent="0.3">
      <c r="C225" s="1" t="s">
        <v>87</v>
      </c>
      <c r="D225" s="1">
        <f>SUMPRODUCT(D197:I200,D207:I210) + SUMPRODUCT(D197:I200,D216:I219)</f>
        <v>40316800</v>
      </c>
    </row>
    <row r="226" spans="3:4" x14ac:dyDescent="0.3">
      <c r="C226" s="1" t="s">
        <v>77</v>
      </c>
      <c r="D226" s="1">
        <f>F20*J211+F21*J220</f>
        <v>55300000</v>
      </c>
    </row>
    <row r="227" spans="3:4" x14ac:dyDescent="0.3">
      <c r="C227" s="1" t="s">
        <v>76</v>
      </c>
      <c r="D227" s="1">
        <f>K211*E20+K220*E21+K207*J20+K216*J21</f>
        <v>10900000</v>
      </c>
    </row>
    <row r="228" spans="3:4" x14ac:dyDescent="0.3">
      <c r="C228" s="10" t="s">
        <v>50</v>
      </c>
      <c r="D228" s="1">
        <f>D225+D226+D227</f>
        <v>106516800</v>
      </c>
    </row>
  </sheetData>
  <mergeCells count="8">
    <mergeCell ref="C193:D193"/>
    <mergeCell ref="O24:Q24"/>
    <mergeCell ref="C55:D55"/>
    <mergeCell ref="C91:D91"/>
    <mergeCell ref="C127:D127"/>
    <mergeCell ref="C156:D156"/>
    <mergeCell ref="C52:K52"/>
    <mergeCell ref="C53:P53"/>
  </mergeCells>
  <pageMargins left="0.7" right="0.7" top="0.75" bottom="0.75" header="0.3" footer="0.3"/>
  <ignoredErrors>
    <ignoredError sqref="K41 K32 K71 K80 K107 K1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Project-1</vt:lpstr>
      <vt:lpstr>Project-2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 Malhi</dc:creator>
  <cp:keywords/>
  <dc:description/>
  <cp:lastModifiedBy>Parv Jhamb</cp:lastModifiedBy>
  <cp:revision/>
  <dcterms:created xsi:type="dcterms:W3CDTF">2025-12-13T10:29:27Z</dcterms:created>
  <dcterms:modified xsi:type="dcterms:W3CDTF">2026-01-21T11:57:40Z</dcterms:modified>
  <cp:category/>
  <cp:contentStatus/>
</cp:coreProperties>
</file>